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75AD1536-3996-433E-AF20-EF9F027F2A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1" l="1"/>
  <c r="J15" i="1"/>
  <c r="I16" i="1"/>
  <c r="I15" i="1"/>
  <c r="F3" i="1"/>
  <c r="F4" i="1"/>
  <c r="F5" i="1"/>
  <c r="F6" i="1"/>
  <c r="F7" i="1"/>
  <c r="F8" i="1"/>
  <c r="F9" i="1"/>
  <c r="F2" i="1"/>
  <c r="K5" i="1"/>
  <c r="L5" i="1" s="1"/>
  <c r="K4" i="1"/>
  <c r="L4" i="1" s="1"/>
  <c r="K3" i="1"/>
  <c r="L3" i="1" s="1"/>
  <c r="K2" i="1"/>
  <c r="L2" i="1" s="1"/>
  <c r="J5" i="1"/>
  <c r="J3" i="1"/>
  <c r="J2" i="1"/>
  <c r="J4" i="1"/>
  <c r="I5" i="1"/>
  <c r="I4" i="1"/>
  <c r="I3" i="1"/>
  <c r="I2" i="1"/>
</calcChain>
</file>

<file path=xl/sharedStrings.xml><?xml version="1.0" encoding="utf-8"?>
<sst xmlns="http://schemas.openxmlformats.org/spreadsheetml/2006/main" count="53" uniqueCount="38">
  <si>
    <t>Employee ID</t>
  </si>
  <si>
    <t>Employee</t>
  </si>
  <si>
    <t>Department</t>
  </si>
  <si>
    <t>Sales</t>
  </si>
  <si>
    <t>Salary</t>
  </si>
  <si>
    <t>performance</t>
  </si>
  <si>
    <t>Search Employee ID</t>
  </si>
  <si>
    <t>Performance</t>
  </si>
  <si>
    <t>E501</t>
  </si>
  <si>
    <t>Asha</t>
  </si>
  <si>
    <t>E504</t>
  </si>
  <si>
    <t>E502</t>
  </si>
  <si>
    <t>Rahul</t>
  </si>
  <si>
    <t>IT</t>
  </si>
  <si>
    <t>E506</t>
  </si>
  <si>
    <t>E503</t>
  </si>
  <si>
    <t>Priya</t>
  </si>
  <si>
    <t>HR</t>
  </si>
  <si>
    <t>E505</t>
  </si>
  <si>
    <t>Arjun</t>
  </si>
  <si>
    <t>Finance</t>
  </si>
  <si>
    <t>E999</t>
  </si>
  <si>
    <t>Sneha</t>
  </si>
  <si>
    <t>Marketing</t>
  </si>
  <si>
    <t>Kiran</t>
  </si>
  <si>
    <t>E507</t>
  </si>
  <si>
    <t>Neha</t>
  </si>
  <si>
    <t>Metric</t>
  </si>
  <si>
    <t>Jan</t>
  </si>
  <si>
    <t>Feb</t>
  </si>
  <si>
    <t>Mar</t>
  </si>
  <si>
    <t>Apr</t>
  </si>
  <si>
    <t>May</t>
  </si>
  <si>
    <t>E508</t>
  </si>
  <si>
    <t>Rohit</t>
  </si>
  <si>
    <t>Profit</t>
  </si>
  <si>
    <t>Orders</t>
  </si>
  <si>
    <t>Search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</si>
</sst>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RowColHeaders="0" tabSelected="1" workbookViewId="0">
      <selection activeCell="B17" sqref="B17"/>
    </sheetView>
  </sheetViews>
  <sheetFormatPr defaultRowHeight="15"/>
  <cols>
    <col min="6" max="6" width="21.85546875" customWidth="1"/>
    <col min="8" max="8" width="19" bestFit="1" customWidth="1"/>
    <col min="9" max="9" width="10" bestFit="1" customWidth="1"/>
    <col min="10" max="10" width="12" bestFit="1" customWidth="1"/>
    <col min="11" max="11" width="10" bestFit="1" customWidth="1"/>
    <col min="12" max="12" width="19.28515625" bestFit="1" customWidth="1"/>
    <col min="13" max="13" width="6.5703125" bestFit="1" customWidth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6</v>
      </c>
      <c r="I1" s="3" t="s">
        <v>1</v>
      </c>
      <c r="J1" s="3" t="s">
        <v>2</v>
      </c>
      <c r="K1" s="3" t="s">
        <v>4</v>
      </c>
      <c r="L1" s="10" t="s">
        <v>7</v>
      </c>
    </row>
    <row r="2" spans="1:13">
      <c r="A2" s="5" t="s">
        <v>8</v>
      </c>
      <c r="B2" s="1" t="s">
        <v>9</v>
      </c>
      <c r="C2" s="1" t="s">
        <v>3</v>
      </c>
      <c r="D2" s="1">
        <v>85000</v>
      </c>
      <c r="E2" s="1">
        <v>48000</v>
      </c>
      <c r="F2" s="6" t="str">
        <f>IF(D2&gt;=80000,"Excellent",IF(D2&gt;=60000,"Good","Needs Improvement"))</f>
        <v>Excellent</v>
      </c>
      <c r="H2" s="5" t="s">
        <v>10</v>
      </c>
      <c r="I2" s="1" t="str">
        <f>_xlfn.XLOOKUP(A5,$A$2:$A$9,$B$2:$B$9)</f>
        <v>Arjun</v>
      </c>
      <c r="J2" s="1" t="str">
        <f>VLOOKUP(A5,$A$2:$C$9,3,FALSE)</f>
        <v>Finance</v>
      </c>
      <c r="K2" s="1">
        <f>INDEX(A2:E9,MATCH(A5,A2:A9,0),5)</f>
        <v>58000</v>
      </c>
      <c r="L2" s="6" t="str">
        <f>IF(K2&gt;=80000,"Excellent",IF(K2&gt;=60000,"Good","Needs Improvement"))</f>
        <v>Needs Improvement</v>
      </c>
    </row>
    <row r="3" spans="1:13">
      <c r="A3" s="5" t="s">
        <v>11</v>
      </c>
      <c r="B3" s="1" t="s">
        <v>12</v>
      </c>
      <c r="C3" s="1" t="s">
        <v>13</v>
      </c>
      <c r="D3" s="1">
        <v>62000</v>
      </c>
      <c r="E3" s="1">
        <v>60000</v>
      </c>
      <c r="F3" s="6" t="str">
        <f t="shared" ref="F3:F9" si="0">IF(D3&gt;=80000,"Excellent",IF(D3&gt;=60000,"Good","Needs Improvement"))</f>
        <v>Good</v>
      </c>
      <c r="H3" s="5" t="s">
        <v>14</v>
      </c>
      <c r="I3" s="1" t="str">
        <f>_xlfn.XLOOKUP(A7,$A$2:$A$9,$B$2:$B$9)</f>
        <v>Kiran</v>
      </c>
      <c r="J3" s="1" t="str">
        <f>VLOOKUP(A7,$A$2:$C$9,3,FALSE)</f>
        <v>IT</v>
      </c>
      <c r="K3" s="1">
        <f>INDEX(A2:E9,MATCH(A7,A2:A9,0),5)</f>
        <v>67000</v>
      </c>
      <c r="L3" s="6" t="str">
        <f t="shared" ref="L3:L5" si="1">IF(K3&gt;=80000,"Excellent",IF(K3&gt;=60000,"Good","Needs Improvement"))</f>
        <v>Good</v>
      </c>
    </row>
    <row r="4" spans="1:13">
      <c r="A4" s="5" t="s">
        <v>15</v>
      </c>
      <c r="B4" s="1" t="s">
        <v>16</v>
      </c>
      <c r="C4" s="1" t="s">
        <v>17</v>
      </c>
      <c r="D4" s="1">
        <v>45000</v>
      </c>
      <c r="E4" s="1">
        <v>52000</v>
      </c>
      <c r="F4" s="6" t="str">
        <f t="shared" si="0"/>
        <v>Needs Improvement</v>
      </c>
      <c r="H4" s="5" t="s">
        <v>18</v>
      </c>
      <c r="I4" s="1" t="str">
        <f>_xlfn.XLOOKUP(A6,$A$2:$A$9,$B$2:$B$9)</f>
        <v>Sneha</v>
      </c>
      <c r="J4" s="1" t="str">
        <f>VLOOKUP(A6,$A$2:$C$9,3)</f>
        <v>Marketing</v>
      </c>
      <c r="K4" s="1">
        <f>INDEX(A2:E9,MATCH(A6,A2:A9,0),5)</f>
        <v>47000</v>
      </c>
      <c r="L4" s="6" t="str">
        <f t="shared" si="1"/>
        <v>Needs Improvement</v>
      </c>
    </row>
    <row r="5" spans="1:13">
      <c r="A5" s="5" t="s">
        <v>10</v>
      </c>
      <c r="B5" s="1" t="s">
        <v>19</v>
      </c>
      <c r="C5" s="1" t="s">
        <v>20</v>
      </c>
      <c r="D5" s="1">
        <v>73000</v>
      </c>
      <c r="E5" s="1">
        <v>58000</v>
      </c>
      <c r="F5" s="6" t="str">
        <f t="shared" si="0"/>
        <v>Good</v>
      </c>
      <c r="H5" s="7" t="s">
        <v>21</v>
      </c>
      <c r="I5" s="8" t="str">
        <f>IFERROR(_xlfn.XLOOKUP(E999,$A$2:$A$9,$B$2:$B$9),"Not found")</f>
        <v>Not found</v>
      </c>
      <c r="J5" s="8" t="str">
        <f>IFERROR(VLOOKUP(E999,$A$2:$C$9,3,FALSE),"Not found")</f>
        <v>Not found</v>
      </c>
      <c r="K5" s="8" t="str">
        <f>IFERROR(INDEX(A2:E9,MATCH(E999,A2:A9,0),5),"Not found")</f>
        <v>Not found</v>
      </c>
      <c r="L5" s="9" t="str">
        <f>IF(K5&gt;=80000,"Excellent",IF(K5&gt;=60000,"Good","Needs Improvement"))</f>
        <v>Excellent</v>
      </c>
    </row>
    <row r="6" spans="1:13">
      <c r="A6" s="5" t="s">
        <v>18</v>
      </c>
      <c r="B6" s="1" t="s">
        <v>22</v>
      </c>
      <c r="C6" s="1" t="s">
        <v>23</v>
      </c>
      <c r="D6" s="1">
        <v>39000</v>
      </c>
      <c r="E6" s="1">
        <v>47000</v>
      </c>
      <c r="F6" s="6" t="str">
        <f t="shared" si="0"/>
        <v>Needs Improvement</v>
      </c>
    </row>
    <row r="7" spans="1:13">
      <c r="A7" s="5" t="s">
        <v>14</v>
      </c>
      <c r="B7" s="1" t="s">
        <v>24</v>
      </c>
      <c r="C7" s="1" t="s">
        <v>13</v>
      </c>
      <c r="D7" s="1">
        <v>91000</v>
      </c>
      <c r="E7" s="1">
        <v>67000</v>
      </c>
      <c r="F7" s="6" t="str">
        <f t="shared" si="0"/>
        <v>Excellent</v>
      </c>
    </row>
    <row r="8" spans="1:13">
      <c r="A8" s="5" t="s">
        <v>25</v>
      </c>
      <c r="B8" s="1" t="s">
        <v>26</v>
      </c>
      <c r="C8" s="1" t="s">
        <v>3</v>
      </c>
      <c r="D8" s="1">
        <v>56000</v>
      </c>
      <c r="E8" s="1">
        <v>50000</v>
      </c>
      <c r="F8" s="6" t="str">
        <f t="shared" si="0"/>
        <v>Needs Improvement</v>
      </c>
      <c r="H8" s="2" t="s">
        <v>27</v>
      </c>
      <c r="I8" s="3" t="s">
        <v>28</v>
      </c>
      <c r="J8" s="3" t="s">
        <v>29</v>
      </c>
      <c r="K8" s="3" t="s">
        <v>30</v>
      </c>
      <c r="L8" s="3" t="s">
        <v>31</v>
      </c>
      <c r="M8" s="10" t="s">
        <v>32</v>
      </c>
    </row>
    <row r="9" spans="1:13">
      <c r="A9" s="7" t="s">
        <v>33</v>
      </c>
      <c r="B9" s="8" t="s">
        <v>34</v>
      </c>
      <c r="C9" s="8" t="s">
        <v>20</v>
      </c>
      <c r="D9" s="8">
        <v>68000</v>
      </c>
      <c r="E9" s="8">
        <v>55000</v>
      </c>
      <c r="F9" s="9" t="str">
        <f t="shared" si="0"/>
        <v>Good</v>
      </c>
      <c r="H9" s="5" t="s">
        <v>3</v>
      </c>
      <c r="I9" s="1">
        <v>45000</v>
      </c>
      <c r="J9" s="1">
        <v>52000</v>
      </c>
      <c r="K9" s="1">
        <v>61000</v>
      </c>
      <c r="L9" s="1">
        <v>58000</v>
      </c>
      <c r="M9" s="6">
        <v>70000</v>
      </c>
    </row>
    <row r="10" spans="1:13">
      <c r="H10" s="5" t="s">
        <v>35</v>
      </c>
      <c r="I10" s="1">
        <v>6000</v>
      </c>
      <c r="J10" s="1">
        <v>7500</v>
      </c>
      <c r="K10" s="1">
        <v>9000</v>
      </c>
      <c r="L10" s="1">
        <v>8200</v>
      </c>
      <c r="M10" s="6">
        <v>11000</v>
      </c>
    </row>
    <row r="11" spans="1:13">
      <c r="H11" s="7" t="s">
        <v>36</v>
      </c>
      <c r="I11" s="8">
        <v>100</v>
      </c>
      <c r="J11" s="8">
        <v>120</v>
      </c>
      <c r="K11" s="8">
        <v>145</v>
      </c>
      <c r="L11" s="8">
        <v>135</v>
      </c>
      <c r="M11" s="9">
        <v>160</v>
      </c>
    </row>
    <row r="14" spans="1:13">
      <c r="H14" s="2" t="s">
        <v>37</v>
      </c>
      <c r="I14" s="3" t="s">
        <v>3</v>
      </c>
      <c r="J14" s="10" t="s">
        <v>35</v>
      </c>
    </row>
    <row r="15" spans="1:13">
      <c r="H15" s="5" t="s">
        <v>30</v>
      </c>
      <c r="I15" s="1">
        <f>HLOOKUP(K8,H8:K11,2)</f>
        <v>61000</v>
      </c>
      <c r="J15" s="6">
        <f>HLOOKUP(K8,H8:K11,3)</f>
        <v>9000</v>
      </c>
    </row>
    <row r="16" spans="1:13">
      <c r="H16" s="7" t="s">
        <v>32</v>
      </c>
      <c r="I16" s="8">
        <f>HLOOKUP(M8,H8:M11,2)</f>
        <v>70000</v>
      </c>
      <c r="J16" s="9">
        <f>HLOOKUP(M8,H8:M11,3)</f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2026-08-13T07:36:32Z</dcterms:created>
  <dcterms:modified xsi:type="dcterms:W3CDTF">2026-08-13T09:26:48Z</dcterms:modified>
  <cp:category/>
  <cp:contentStatus/>
</cp:coreProperties>
</file>