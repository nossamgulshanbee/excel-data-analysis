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hidePivotFieldList="1" defaultThemeVersion="166925"/>
  <xr:revisionPtr revIDLastSave="0" documentId="8_{9C309590-3195-44F2-A5E2-1B5D079B49FA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dataset" sheetId="1" r:id="rId1"/>
    <sheet name="kpi and charts" sheetId="2" r:id="rId2"/>
  </sheets>
  <externalReferences>
    <externalReference r:id="rId3"/>
    <externalReference r:id="rId4"/>
  </externalReferences>
  <calcPr calcId="191028"/>
  <pivotCaches>
    <pivotCache cacheId="132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I8" i="1"/>
  <c r="N8" i="1"/>
  <c r="O11" i="2" s="1"/>
  <c r="N5" i="1"/>
  <c r="J3" i="2" s="1"/>
  <c r="N4" i="1"/>
  <c r="O3" i="2" s="1"/>
  <c r="N7" i="1"/>
  <c r="J11" i="2" s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3" i="1"/>
  <c r="I4" i="1"/>
  <c r="I5" i="1"/>
  <c r="I6" i="1"/>
  <c r="I7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  <c r="E3" i="2" l="1"/>
  <c r="N6" i="1"/>
  <c r="E11" i="2" s="1"/>
</calcChain>
</file>

<file path=xl/sharedStrings.xml><?xml version="1.0" encoding="utf-8"?>
<sst xmlns="http://schemas.openxmlformats.org/spreadsheetml/2006/main" count="262" uniqueCount="50">
  <si>
    <t>Date</t>
  </si>
  <si>
    <t>Employee</t>
  </si>
  <si>
    <t>Region</t>
  </si>
  <si>
    <t>Product</t>
  </si>
  <si>
    <t>Category</t>
  </si>
  <si>
    <t>Sales</t>
  </si>
  <si>
    <t>Cost</t>
  </si>
  <si>
    <t>Profit</t>
  </si>
  <si>
    <t>MONTH</t>
  </si>
  <si>
    <t>Sum of Profit</t>
  </si>
  <si>
    <t>Rahul</t>
  </si>
  <si>
    <t>South</t>
  </si>
  <si>
    <t>Laptop</t>
  </si>
  <si>
    <t>Electronics</t>
  </si>
  <si>
    <t>ANALYSIS</t>
  </si>
  <si>
    <t>Arjun</t>
  </si>
  <si>
    <t>Priya</t>
  </si>
  <si>
    <t>North</t>
  </si>
  <si>
    <t>Phone</t>
  </si>
  <si>
    <t>Total sales=</t>
  </si>
  <si>
    <t>Kiran</t>
  </si>
  <si>
    <t>East</t>
  </si>
  <si>
    <t>Tablet</t>
  </si>
  <si>
    <t>Total cost=</t>
  </si>
  <si>
    <t>Sneha</t>
  </si>
  <si>
    <t>West</t>
  </si>
  <si>
    <t>Monitor</t>
  </si>
  <si>
    <t>Total Profit=</t>
  </si>
  <si>
    <t>Keyboard</t>
  </si>
  <si>
    <t>Accessories</t>
  </si>
  <si>
    <t>Profit Margin</t>
  </si>
  <si>
    <t>Mouse</t>
  </si>
  <si>
    <t>Count of sales</t>
  </si>
  <si>
    <t>Grand Total</t>
  </si>
  <si>
    <t>Avergae Sales=</t>
  </si>
  <si>
    <t>Headphones</t>
  </si>
  <si>
    <t xml:space="preserve">PRODUCT WISE SALES AND PROFIT </t>
  </si>
  <si>
    <t>Printer</t>
  </si>
  <si>
    <t>Office</t>
  </si>
  <si>
    <t>Sum of Sales</t>
  </si>
  <si>
    <t>MONTHLY SALES</t>
  </si>
  <si>
    <t>Feb-2026</t>
  </si>
  <si>
    <t>Jan-2026</t>
  </si>
  <si>
    <t>REGION WISE SALES AND PROFIT</t>
  </si>
  <si>
    <t>TOTAL SALES</t>
  </si>
  <si>
    <t>TOTAL PROFIT</t>
  </si>
  <si>
    <t>TOTAL COST</t>
  </si>
  <si>
    <t>PROFIT MARGIN</t>
  </si>
  <si>
    <t>COUNT</t>
  </si>
  <si>
    <t>AVERGARE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</si>
</sst>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[$₹-4009]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5" fontId="3" fillId="5" borderId="3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165" fontId="3" fillId="5" borderId="0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165" fontId="3" fillId="5" borderId="6" xfId="0" applyNumberFormat="1" applyFont="1" applyFill="1" applyBorder="1" applyAlignment="1">
      <alignment horizontal="center" vertical="center"/>
    </xf>
    <xf numFmtId="165" fontId="3" fillId="5" borderId="7" xfId="0" applyNumberFormat="1" applyFont="1" applyFill="1" applyBorder="1" applyAlignment="1">
      <alignment horizontal="center" vertical="center"/>
    </xf>
    <xf numFmtId="165" fontId="3" fillId="5" borderId="8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NumberFormat="1"/>
    <xf numFmtId="0" fontId="4" fillId="0" borderId="0" xfId="0" applyFont="1" applyAlignment="1">
      <alignment horizont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3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2" fontId="3" fillId="5" borderId="0" xfId="0" applyNumberFormat="1" applyFont="1" applyFill="1" applyBorder="1" applyAlignment="1">
      <alignment horizontal="center" vertical="center"/>
    </xf>
    <xf numFmtId="2" fontId="3" fillId="5" borderId="5" xfId="0" applyNumberFormat="1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center" vertical="center"/>
    </xf>
    <xf numFmtId="2" fontId="3" fillId="5" borderId="7" xfId="0" applyNumberFormat="1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[2]Sheet1!$Q$10</c:f>
              <c:strCache>
                <c:ptCount val="1"/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C9D4-4D85-AC5A-80F78D0F10AD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9D4-4D85-AC5A-80F78D0F10AD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9D4-4D85-AC5A-80F78D0F10AD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9D4-4D85-AC5A-80F78D0F10AD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C9D4-4D85-AC5A-80F78D0F10AD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C9D4-4D85-AC5A-80F78D0F10AD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9D4-4D85-AC5A-80F78D0F10AD}"/>
              </c:ext>
            </c:extLst>
          </c:dPt>
          <c:cat>
            <c:strLit>
              <c:ptCount val="7"/>
              <c:pt idx="0">
                <c:v>Laptop</c:v>
              </c:pt>
              <c:pt idx="1">
                <c:v>Tablet</c:v>
              </c:pt>
              <c:pt idx="2">
                <c:v>Monitor</c:v>
              </c:pt>
              <c:pt idx="3">
                <c:v>Phone</c:v>
              </c:pt>
              <c:pt idx="4">
                <c:v>Printer</c:v>
              </c:pt>
              <c:pt idx="5">
                <c:v>Headphones</c:v>
              </c:pt>
              <c:pt idx="6">
                <c:v>Mouse</c:v>
              </c:pt>
            </c:strLit>
          </c:cat>
          <c:val>
            <c:numLit>
              <c:formatCode>General</c:formatCode>
              <c:ptCount val="7"/>
              <c:pt idx="0">
                <c:v>149000</c:v>
              </c:pt>
              <c:pt idx="1">
                <c:v>57000</c:v>
              </c:pt>
              <c:pt idx="2">
                <c:v>49000</c:v>
              </c:pt>
              <c:pt idx="3">
                <c:v>32000</c:v>
              </c:pt>
              <c:pt idx="4">
                <c:v>17000</c:v>
              </c:pt>
              <c:pt idx="5">
                <c:v>9000</c:v>
              </c:pt>
              <c:pt idx="6">
                <c:v>3000</c:v>
              </c:pt>
            </c:numLit>
          </c:val>
          <c:extLst>
            <c:ext xmlns:c16="http://schemas.microsoft.com/office/drawing/2014/chart" uri="{C3380CC4-5D6E-409C-BE32-E72D297353CC}">
              <c16:uniqueId val="{00000007-C9D4-4D85-AC5A-80F78D0F1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18908936"/>
        <c:axId val="718919176"/>
      </c:barChart>
      <c:catAx>
        <c:axId val="718908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919176"/>
        <c:crosses val="autoZero"/>
        <c:auto val="1"/>
        <c:lblAlgn val="ctr"/>
        <c:lblOffset val="100"/>
        <c:noMultiLvlLbl val="0"/>
      </c:catAx>
      <c:valAx>
        <c:axId val="718919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908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Top 5 Employees by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[1]Sheet5!$AB$21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Rahul</c:v>
              </c:pt>
              <c:pt idx="1">
                <c:v>Priya</c:v>
              </c:pt>
              <c:pt idx="2">
                <c:v>Sneha</c:v>
              </c:pt>
              <c:pt idx="3">
                <c:v>Kiran</c:v>
              </c:pt>
              <c:pt idx="4">
                <c:v>Arjun</c:v>
              </c:pt>
            </c:strLit>
          </c:cat>
          <c:val>
            <c:numLit>
              <c:formatCode>General</c:formatCode>
              <c:ptCount val="5"/>
              <c:pt idx="0">
                <c:v>105700</c:v>
              </c:pt>
              <c:pt idx="1">
                <c:v>93300</c:v>
              </c:pt>
              <c:pt idx="2">
                <c:v>93200</c:v>
              </c:pt>
              <c:pt idx="3">
                <c:v>60800</c:v>
              </c:pt>
              <c:pt idx="4">
                <c:v>60700</c:v>
              </c:pt>
            </c:numLit>
          </c:val>
          <c:extLst>
            <c:ext xmlns:c16="http://schemas.microsoft.com/office/drawing/2014/chart" uri="{C3380CC4-5D6E-409C-BE32-E72D297353CC}">
              <c16:uniqueId val="{00000000-50A1-426F-9861-ACD0D6AD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7978248"/>
        <c:axId val="1347980296"/>
      </c:barChart>
      <c:catAx>
        <c:axId val="134797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80296"/>
        <c:crosses val="autoZero"/>
        <c:auto val="1"/>
        <c:lblAlgn val="ctr"/>
        <c:lblOffset val="100"/>
        <c:noMultiLvlLbl val="0"/>
      </c:catAx>
      <c:valAx>
        <c:axId val="134798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97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SALES TREND</a:t>
            </a:r>
          </a:p>
        </c:rich>
      </c:tx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[1]Sheet5!$X$12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Jan-2026</c:v>
              </c:pt>
              <c:pt idx="1">
                <c:v>Feb-2026</c:v>
              </c:pt>
            </c:strLit>
          </c:cat>
          <c:val>
            <c:numLit>
              <c:formatCode>General</c:formatCode>
              <c:ptCount val="2"/>
              <c:pt idx="0">
                <c:v>728500</c:v>
              </c:pt>
              <c:pt idx="1">
                <c:v>503200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70C-4953-946F-C856F2DD8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554888"/>
        <c:axId val="1938579464"/>
      </c:lineChart>
      <c:catAx>
        <c:axId val="1938554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79464"/>
        <c:crosses val="autoZero"/>
        <c:auto val="1"/>
        <c:lblAlgn val="ctr"/>
        <c:lblOffset val="100"/>
        <c:noMultiLvlLbl val="0"/>
      </c:catAx>
      <c:valAx>
        <c:axId val="193857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5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30</xdr:row>
      <xdr:rowOff>180975</xdr:rowOff>
    </xdr:from>
    <xdr:to>
      <xdr:col>9</xdr:col>
      <xdr:colOff>533400</xdr:colOff>
      <xdr:row>45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D972E8F0-DDF9-4908-A5B6-8D0ADA8720DC}"/>
            </a:ext>
            <a:ext uri="{147F2762-F138-4A5C-976F-8EAC2B608ADB}">
              <a16:predDERef xmlns:a16="http://schemas.microsoft.com/office/drawing/2014/main" pred="{A43EF483-6DCA-449E-AAD1-300789594E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18</xdr:col>
      <xdr:colOff>85725</xdr:colOff>
      <xdr:row>45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B6DA3C-BA21-4598-A331-C1CFBDFAD6B4}"/>
            </a:ext>
            <a:ext uri="{147F2762-F138-4A5C-976F-8EAC2B608ADB}">
              <a16:predDERef xmlns:a16="http://schemas.microsoft.com/office/drawing/2014/main" pred="{D972E8F0-DDF9-4908-A5B6-8D0ADA8720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352425</xdr:colOff>
      <xdr:row>14</xdr:row>
      <xdr:rowOff>161925</xdr:rowOff>
    </xdr:from>
    <xdr:to>
      <xdr:col>14</xdr:col>
      <xdr:colOff>0</xdr:colOff>
      <xdr:row>29</xdr:row>
      <xdr:rowOff>47625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3BEF6710-D6E9-4F86-9DAD-E3283DDD5747}"/>
            </a:ext>
            <a:ext uri="{147F2762-F138-4A5C-976F-8EAC2B608ADB}">
              <a16:predDERef xmlns:a16="http://schemas.microsoft.com/office/drawing/2014/main" pred="{9AB6DA3C-BA21-4598-A331-C1CFBDFAD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actice%20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5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1.655528240743" createdVersion="8" refreshedVersion="8" minRefreshableVersion="3" recordCount="51" xr:uid="{B2009FF0-FA34-448F-8037-E9C083A42DF6}">
  <cacheSource type="worksheet">
    <worksheetSource name="Table2"/>
  </cacheSource>
  <cacheFields count="9">
    <cacheField name="Date" numFmtId="164">
      <sharedItems containsSemiMixedTypes="0" containsNonDate="0" containsDate="1" containsString="0" minDate="2026-01-01T00:00:00" maxDate="2026-02-22T00:00:00"/>
    </cacheField>
    <cacheField name="Employee" numFmtId="0">
      <sharedItems count="5">
        <s v="Rahul"/>
        <s v="Priya"/>
        <s v="Arjun"/>
        <s v="Sneha"/>
        <s v="Kiran"/>
      </sharedItems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8">
        <s v="Laptop"/>
        <s v="Phone"/>
        <s v="Tablet"/>
        <s v="Monitor"/>
        <s v="Keyboard"/>
        <s v="Mouse"/>
        <s v="Headphones"/>
        <s v="Printer"/>
      </sharedItems>
    </cacheField>
    <cacheField name="Category" numFmtId="0">
      <sharedItems/>
    </cacheField>
    <cacheField name="Sales" numFmtId="0">
      <sharedItems containsSemiMixedTypes="0" containsString="0" containsNumber="1" containsInteger="1" minValue="3000" maxValue="54000"/>
    </cacheField>
    <cacheField name="Cost" numFmtId="0">
      <sharedItems containsSemiMixedTypes="0" containsString="0" containsNumber="1" containsInteger="1" minValue="1800" maxValue="36000"/>
    </cacheField>
    <cacheField name="Profit" numFmtId="0">
      <sharedItems containsSemiMixedTypes="0" containsString="0" containsNumber="1" containsInteger="1" minValue="1200" maxValue="18000"/>
    </cacheField>
    <cacheField name="MONTH" numFmtId="0">
      <sharedItems count="2">
        <s v="Jan-2026"/>
        <s v="Feb-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d v="2026-01-01T00:00:00"/>
    <x v="0"/>
    <x v="0"/>
    <x v="0"/>
    <s v="Electronics"/>
    <n v="45000"/>
    <n v="30000"/>
    <n v="15000"/>
    <x v="0"/>
  </r>
  <r>
    <d v="2026-01-02T00:00:00"/>
    <x v="1"/>
    <x v="1"/>
    <x v="1"/>
    <s v="Electronics"/>
    <n v="30000"/>
    <n v="21000"/>
    <n v="9000"/>
    <x v="0"/>
  </r>
  <r>
    <d v="2026-01-03T00:00:00"/>
    <x v="2"/>
    <x v="2"/>
    <x v="2"/>
    <s v="Electronics"/>
    <n v="25000"/>
    <n v="17000"/>
    <n v="8000"/>
    <x v="0"/>
  </r>
  <r>
    <d v="2026-01-04T00:00:00"/>
    <x v="3"/>
    <x v="3"/>
    <x v="3"/>
    <s v="Electronics"/>
    <n v="22000"/>
    <n v="15000"/>
    <n v="7000"/>
    <x v="0"/>
  </r>
  <r>
    <d v="2026-01-05T00:00:00"/>
    <x v="4"/>
    <x v="0"/>
    <x v="4"/>
    <s v="Accessories"/>
    <n v="5000"/>
    <n v="3000"/>
    <n v="2000"/>
    <x v="0"/>
  </r>
  <r>
    <d v="2026-01-06T00:00:00"/>
    <x v="0"/>
    <x v="1"/>
    <x v="5"/>
    <s v="Accessories"/>
    <n v="3000"/>
    <n v="1800"/>
    <n v="1200"/>
    <x v="0"/>
  </r>
  <r>
    <d v="2026-01-07T00:00:00"/>
    <x v="1"/>
    <x v="2"/>
    <x v="0"/>
    <s v="Electronics"/>
    <n v="48000"/>
    <n v="32000"/>
    <n v="16000"/>
    <x v="0"/>
  </r>
  <r>
    <d v="2026-01-08T00:00:00"/>
    <x v="2"/>
    <x v="3"/>
    <x v="6"/>
    <s v="Accessories"/>
    <n v="7000"/>
    <n v="4000"/>
    <n v="3000"/>
    <x v="0"/>
  </r>
  <r>
    <d v="2026-01-09T00:00:00"/>
    <x v="3"/>
    <x v="0"/>
    <x v="1"/>
    <s v="Electronics"/>
    <n v="35000"/>
    <n v="24000"/>
    <n v="11000"/>
    <x v="0"/>
  </r>
  <r>
    <d v="2026-01-10T00:00:00"/>
    <x v="4"/>
    <x v="1"/>
    <x v="7"/>
    <s v="Office"/>
    <n v="18000"/>
    <n v="12000"/>
    <n v="6000"/>
    <x v="0"/>
  </r>
  <r>
    <d v="2026-01-11T00:00:00"/>
    <x v="0"/>
    <x v="2"/>
    <x v="3"/>
    <s v="Electronics"/>
    <n v="24000"/>
    <n v="16000"/>
    <n v="8000"/>
    <x v="0"/>
  </r>
  <r>
    <d v="2026-01-12T00:00:00"/>
    <x v="1"/>
    <x v="3"/>
    <x v="4"/>
    <s v="Accessories"/>
    <n v="5500"/>
    <n v="3200"/>
    <n v="2300"/>
    <x v="0"/>
  </r>
  <r>
    <d v="2026-01-13T00:00:00"/>
    <x v="2"/>
    <x v="0"/>
    <x v="2"/>
    <s v="Electronics"/>
    <n v="27000"/>
    <n v="18000"/>
    <n v="9000"/>
    <x v="0"/>
  </r>
  <r>
    <d v="2026-01-14T00:00:00"/>
    <x v="3"/>
    <x v="1"/>
    <x v="0"/>
    <s v="Electronics"/>
    <n v="52000"/>
    <n v="35000"/>
    <n v="17000"/>
    <x v="0"/>
  </r>
  <r>
    <d v="2026-01-15T00:00:00"/>
    <x v="4"/>
    <x v="2"/>
    <x v="5"/>
    <s v="Accessories"/>
    <n v="3500"/>
    <n v="2000"/>
    <n v="1500"/>
    <x v="0"/>
  </r>
  <r>
    <d v="2026-01-16T00:00:00"/>
    <x v="0"/>
    <x v="3"/>
    <x v="1"/>
    <s v="Electronics"/>
    <n v="32000"/>
    <n v="22000"/>
    <n v="10000"/>
    <x v="0"/>
  </r>
  <r>
    <d v="2026-01-17T00:00:00"/>
    <x v="1"/>
    <x v="0"/>
    <x v="7"/>
    <s v="Office"/>
    <n v="20000"/>
    <n v="13000"/>
    <n v="7000"/>
    <x v="0"/>
  </r>
  <r>
    <d v="2026-01-18T00:00:00"/>
    <x v="2"/>
    <x v="1"/>
    <x v="6"/>
    <s v="Accessories"/>
    <n v="7500"/>
    <n v="4200"/>
    <n v="3300"/>
    <x v="0"/>
  </r>
  <r>
    <d v="2026-01-19T00:00:00"/>
    <x v="3"/>
    <x v="2"/>
    <x v="0"/>
    <s v="Electronics"/>
    <n v="46000"/>
    <n v="31000"/>
    <n v="15000"/>
    <x v="0"/>
  </r>
  <r>
    <d v="2026-01-20T00:00:00"/>
    <x v="4"/>
    <x v="3"/>
    <x v="3"/>
    <s v="Electronics"/>
    <n v="23000"/>
    <n v="15500"/>
    <n v="7500"/>
    <x v="0"/>
  </r>
  <r>
    <d v="2026-01-21T00:00:00"/>
    <x v="0"/>
    <x v="0"/>
    <x v="2"/>
    <s v="Electronics"/>
    <n v="26000"/>
    <n v="17500"/>
    <n v="8500"/>
    <x v="0"/>
  </r>
  <r>
    <d v="2026-01-22T00:00:00"/>
    <x v="1"/>
    <x v="1"/>
    <x v="4"/>
    <s v="Accessories"/>
    <n v="6000"/>
    <n v="3500"/>
    <n v="2500"/>
    <x v="0"/>
  </r>
  <r>
    <d v="2026-01-23T00:00:00"/>
    <x v="2"/>
    <x v="2"/>
    <x v="1"/>
    <s v="Electronics"/>
    <n v="34000"/>
    <n v="23000"/>
    <n v="11000"/>
    <x v="0"/>
  </r>
  <r>
    <d v="2026-01-24T00:00:00"/>
    <x v="3"/>
    <x v="3"/>
    <x v="7"/>
    <s v="Office"/>
    <n v="19000"/>
    <n v="12500"/>
    <n v="6500"/>
    <x v="0"/>
  </r>
  <r>
    <d v="2026-01-25T00:00:00"/>
    <x v="4"/>
    <x v="0"/>
    <x v="6"/>
    <s v="Accessories"/>
    <n v="8000"/>
    <n v="4500"/>
    <n v="3500"/>
    <x v="0"/>
  </r>
  <r>
    <d v="2026-01-26T00:00:00"/>
    <x v="0"/>
    <x v="1"/>
    <x v="0"/>
    <s v="Electronics"/>
    <n v="50000"/>
    <n v="33500"/>
    <n v="16500"/>
    <x v="0"/>
  </r>
  <r>
    <d v="2026-01-27T00:00:00"/>
    <x v="1"/>
    <x v="2"/>
    <x v="3"/>
    <s v="Electronics"/>
    <n v="21000"/>
    <n v="14000"/>
    <n v="7000"/>
    <x v="0"/>
  </r>
  <r>
    <d v="2026-01-28T00:00:00"/>
    <x v="2"/>
    <x v="3"/>
    <x v="5"/>
    <s v="Accessories"/>
    <n v="4000"/>
    <n v="2300"/>
    <n v="1700"/>
    <x v="0"/>
  </r>
  <r>
    <d v="2026-01-29T00:00:00"/>
    <x v="3"/>
    <x v="0"/>
    <x v="1"/>
    <s v="Electronics"/>
    <n v="37000"/>
    <n v="25000"/>
    <n v="12000"/>
    <x v="0"/>
  </r>
  <r>
    <d v="2026-01-30T00:00:00"/>
    <x v="4"/>
    <x v="1"/>
    <x v="2"/>
    <s v="Electronics"/>
    <n v="28000"/>
    <n v="19000"/>
    <n v="9000"/>
    <x v="0"/>
  </r>
  <r>
    <d v="2026-01-31T00:00:00"/>
    <x v="0"/>
    <x v="2"/>
    <x v="7"/>
    <s v="Office"/>
    <n v="17000"/>
    <n v="11000"/>
    <n v="6000"/>
    <x v="0"/>
  </r>
  <r>
    <d v="2026-02-02T00:00:00"/>
    <x v="1"/>
    <x v="3"/>
    <x v="0"/>
    <s v="Electronics"/>
    <n v="47000"/>
    <n v="31500"/>
    <n v="15500"/>
    <x v="1"/>
  </r>
  <r>
    <d v="2026-02-03T00:00:00"/>
    <x v="2"/>
    <x v="0"/>
    <x v="4"/>
    <s v="Accessories"/>
    <n v="5200"/>
    <n v="3000"/>
    <n v="2200"/>
    <x v="1"/>
  </r>
  <r>
    <d v="2026-02-04T00:00:00"/>
    <x v="3"/>
    <x v="1"/>
    <x v="6"/>
    <s v="Accessories"/>
    <n v="8500"/>
    <n v="4800"/>
    <n v="3700"/>
    <x v="1"/>
  </r>
  <r>
    <d v="2026-02-05T00:00:00"/>
    <x v="4"/>
    <x v="2"/>
    <x v="1"/>
    <s v="Electronics"/>
    <n v="31000"/>
    <n v="21000"/>
    <n v="10000"/>
    <x v="1"/>
  </r>
  <r>
    <d v="2026-02-06T00:00:00"/>
    <x v="0"/>
    <x v="3"/>
    <x v="3"/>
    <s v="Electronics"/>
    <n v="25000"/>
    <n v="16500"/>
    <n v="8500"/>
    <x v="1"/>
  </r>
  <r>
    <d v="2026-02-07T00:00:00"/>
    <x v="1"/>
    <x v="0"/>
    <x v="2"/>
    <s v="Electronics"/>
    <n v="29000"/>
    <n v="19500"/>
    <n v="9500"/>
    <x v="1"/>
  </r>
  <r>
    <d v="2026-02-08T00:00:00"/>
    <x v="2"/>
    <x v="1"/>
    <x v="7"/>
    <s v="Office"/>
    <n v="21000"/>
    <n v="13500"/>
    <n v="7500"/>
    <x v="1"/>
  </r>
  <r>
    <d v="2026-02-09T00:00:00"/>
    <x v="3"/>
    <x v="2"/>
    <x v="5"/>
    <s v="Accessories"/>
    <n v="4500"/>
    <n v="2500"/>
    <n v="2000"/>
    <x v="1"/>
  </r>
  <r>
    <d v="2026-02-10T00:00:00"/>
    <x v="4"/>
    <x v="3"/>
    <x v="1"/>
    <s v="Electronics"/>
    <n v="36000"/>
    <n v="24500"/>
    <n v="11500"/>
    <x v="1"/>
  </r>
  <r>
    <d v="2026-02-11T00:00:00"/>
    <x v="0"/>
    <x v="0"/>
    <x v="0"/>
    <s v="Electronics"/>
    <n v="54000"/>
    <n v="36000"/>
    <n v="18000"/>
    <x v="1"/>
  </r>
  <r>
    <d v="2026-02-12T00:00:00"/>
    <x v="1"/>
    <x v="1"/>
    <x v="3"/>
    <s v="Electronics"/>
    <n v="26000"/>
    <n v="17500"/>
    <n v="8500"/>
    <x v="1"/>
  </r>
  <r>
    <d v="2026-02-13T00:00:00"/>
    <x v="2"/>
    <x v="2"/>
    <x v="4"/>
    <s v="Accessories"/>
    <n v="5800"/>
    <n v="3300"/>
    <n v="2500"/>
    <x v="1"/>
  </r>
  <r>
    <d v="2026-02-14T00:00:00"/>
    <x v="3"/>
    <x v="3"/>
    <x v="2"/>
    <s v="Electronics"/>
    <n v="30000"/>
    <n v="20000"/>
    <n v="10000"/>
    <x v="1"/>
  </r>
  <r>
    <d v="2026-02-15T00:00:00"/>
    <x v="4"/>
    <x v="0"/>
    <x v="7"/>
    <s v="Office"/>
    <n v="22000"/>
    <n v="14000"/>
    <n v="8000"/>
    <x v="1"/>
  </r>
  <r>
    <d v="2026-02-16T00:00:00"/>
    <x v="0"/>
    <x v="1"/>
    <x v="6"/>
    <s v="Accessories"/>
    <n v="9000"/>
    <n v="5000"/>
    <n v="4000"/>
    <x v="1"/>
  </r>
  <r>
    <d v="2026-02-17T00:00:00"/>
    <x v="1"/>
    <x v="2"/>
    <x v="0"/>
    <s v="Electronics"/>
    <n v="49000"/>
    <n v="33000"/>
    <n v="16000"/>
    <x v="1"/>
  </r>
  <r>
    <d v="2026-02-18T00:00:00"/>
    <x v="2"/>
    <x v="3"/>
    <x v="1"/>
    <s v="Electronics"/>
    <n v="38000"/>
    <n v="25500"/>
    <n v="12500"/>
    <x v="1"/>
  </r>
  <r>
    <d v="2026-02-19T00:00:00"/>
    <x v="3"/>
    <x v="0"/>
    <x v="3"/>
    <s v="Electronics"/>
    <n v="27000"/>
    <n v="18000"/>
    <n v="9000"/>
    <x v="1"/>
  </r>
  <r>
    <d v="2026-02-20T00:00:00"/>
    <x v="4"/>
    <x v="1"/>
    <x v="5"/>
    <s v="Accessories"/>
    <n v="4200"/>
    <n v="2400"/>
    <n v="1800"/>
    <x v="1"/>
  </r>
  <r>
    <d v="2026-02-21T00:00:00"/>
    <x v="0"/>
    <x v="2"/>
    <x v="2"/>
    <s v="Electronics"/>
    <n v="31000"/>
    <n v="21000"/>
    <n v="100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A1F31-19DE-4407-813E-9B0300A3615B}" name="PivotTable4" cacheId="1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20:S25" firstHeaderRow="0" firstDataRow="1" firstDataCol="1"/>
  <pivotFields count="9">
    <pivotField compact="0" numFmtId="164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70777-DADD-4E5E-AF65-77A2C60501FB}" name="PivotTable3" cacheId="1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12:R15" firstHeaderRow="1" firstDataRow="1" firstDataCol="1"/>
  <pivotFields count="9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55B4F-CE1B-434A-AAC6-6A2BCABA2B4D}" name="PivotTable2" cacheId="1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Q1:R7" firstHeaderRow="1" firstDataRow="1" firstDataCol="1"/>
  <pivotFields count="9">
    <pivotField compact="0" numFmtId="164" outline="0" showAll="0"/>
    <pivotField axis="axisRow" compact="0" outline="0" showAll="0">
      <items count="6">
        <item x="2"/>
        <item x="4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8562F-A6F6-421B-A0D4-5AAFDD01E71A}" name="PivotTable1" cacheId="13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M11:O20" firstHeaderRow="0" firstDataRow="1" firstDataCol="1"/>
  <pivotFields count="9">
    <pivotField compact="0" numFmtId="164" outline="0" showAll="0"/>
    <pivotField compact="0" outline="0" showAll="0"/>
    <pivotField compact="0" outline="0" showAll="0"/>
    <pivotField axis="axisRow" compact="0" outline="0" showAll="0">
      <items count="9">
        <item x="6"/>
        <item x="4"/>
        <item x="0"/>
        <item x="3"/>
        <item x="5"/>
        <item x="1"/>
        <item x="7"/>
        <item x="2"/>
        <item t="default"/>
      </items>
    </pivotField>
    <pivotField compact="0" outline="0" showAll="0"/>
    <pivotField dataField="1" compact="0" outline="0" showAll="0"/>
    <pivotField compact="0" outline="0" showAll="0"/>
    <pivotField dataField="1" compact="0" outline="0" showAll="0"/>
    <pivotField compact="0" outline="0"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01C833-14EB-41C7-B0D8-93B51BC6A645}" name="Table2" displayName="Table2" ref="A1:I52" totalsRowShown="0" headerRowDxfId="1">
  <autoFilter ref="A1:I52" xr:uid="{F401C833-14EB-41C7-B0D8-93B51BC6A645}"/>
  <tableColumns count="9">
    <tableColumn id="1" xr3:uid="{A3BE5BAA-04A7-4F74-A927-B68A8A42C70C}" name="Date"/>
    <tableColumn id="2" xr3:uid="{1D55B0A5-72B9-4D25-BF5C-C090681EBEE2}" name="Employee"/>
    <tableColumn id="3" xr3:uid="{D6FD4E5F-886A-4C89-9411-3AC83E4AFEF6}" name="Region"/>
    <tableColumn id="4" xr3:uid="{79E62AF6-2FBF-428D-B6B5-E3C15E184845}" name="Product"/>
    <tableColumn id="5" xr3:uid="{C8BC22D6-FDFD-4A3A-B8F3-46203A0A025A}" name="Category"/>
    <tableColumn id="6" xr3:uid="{CEEE5BDA-2676-4B5E-B547-8064D809D867}" name="Sales"/>
    <tableColumn id="7" xr3:uid="{98E86C80-98FA-4EFC-9396-CCDDA3E4A4EB}" name="Cost"/>
    <tableColumn id="8" xr3:uid="{7B9E9C76-BD96-4722-AC2C-B912A994542D}" name="Profit"/>
    <tableColumn id="9" xr3:uid="{770776E3-7778-43C5-A438-1DFDDF740D18}" name="MONTH" dataDxfId="0">
      <calculatedColumnFormula>TEXT(Table2[[#This Row],[Date]],"mmm-yyyy")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workbookViewId="0">
      <selection activeCell="K6" sqref="K6"/>
    </sheetView>
  </sheetViews>
  <sheetFormatPr defaultRowHeight="15"/>
  <cols>
    <col min="12" max="12" width="5.140625" customWidth="1"/>
    <col min="13" max="13" width="14.42578125" customWidth="1"/>
    <col min="14" max="14" width="14.28515625" bestFit="1" customWidth="1"/>
    <col min="15" max="15" width="12.85546875" bestFit="1" customWidth="1"/>
    <col min="17" max="17" width="11.7109375" bestFit="1" customWidth="1"/>
    <col min="18" max="18" width="12.42578125" bestFit="1" customWidth="1"/>
    <col min="19" max="19" width="12.85546875" bestFit="1" customWidth="1"/>
    <col min="20" max="20" width="5.7109375" bestFit="1" customWidth="1"/>
    <col min="21" max="21" width="11.710937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Q1" s="37" t="s">
        <v>1</v>
      </c>
      <c r="R1" t="s">
        <v>9</v>
      </c>
    </row>
    <row r="2" spans="1:18">
      <c r="A2" s="2">
        <v>46023</v>
      </c>
      <c r="B2" t="s">
        <v>10</v>
      </c>
      <c r="C2" t="s">
        <v>11</v>
      </c>
      <c r="D2" t="s">
        <v>12</v>
      </c>
      <c r="E2" t="s">
        <v>13</v>
      </c>
      <c r="F2">
        <v>45000</v>
      </c>
      <c r="G2">
        <v>30000</v>
      </c>
      <c r="H2">
        <v>15000</v>
      </c>
      <c r="I2" t="str">
        <f>TEXT(Table2[[#This Row],[Date]],"mmm-yyyy")</f>
        <v>Jan-2026</v>
      </c>
      <c r="M2" s="39" t="s">
        <v>14</v>
      </c>
      <c r="N2" s="36"/>
      <c r="Q2" t="s">
        <v>15</v>
      </c>
      <c r="R2" s="38">
        <v>60700</v>
      </c>
    </row>
    <row r="3" spans="1:18">
      <c r="A3" s="2">
        <v>46024</v>
      </c>
      <c r="B3" t="s">
        <v>16</v>
      </c>
      <c r="C3" t="s">
        <v>17</v>
      </c>
      <c r="D3" t="s">
        <v>18</v>
      </c>
      <c r="E3" t="s">
        <v>13</v>
      </c>
      <c r="F3">
        <v>30000</v>
      </c>
      <c r="G3">
        <v>21000</v>
      </c>
      <c r="H3">
        <v>9000</v>
      </c>
      <c r="I3" t="str">
        <f>TEXT(Table2[[#This Row],[Date]],"mmm-yyyy")</f>
        <v>Jan-2026</v>
      </c>
      <c r="M3" t="s">
        <v>19</v>
      </c>
      <c r="N3" s="3">
        <f>SUM(Table2[Sales])</f>
        <v>1231700</v>
      </c>
      <c r="Q3" t="s">
        <v>20</v>
      </c>
      <c r="R3" s="38">
        <v>60800</v>
      </c>
    </row>
    <row r="4" spans="1:18">
      <c r="A4" s="2">
        <v>46025</v>
      </c>
      <c r="B4" t="s">
        <v>15</v>
      </c>
      <c r="C4" t="s">
        <v>21</v>
      </c>
      <c r="D4" t="s">
        <v>22</v>
      </c>
      <c r="E4" t="s">
        <v>13</v>
      </c>
      <c r="F4">
        <v>25000</v>
      </c>
      <c r="G4">
        <v>17000</v>
      </c>
      <c r="H4">
        <v>8000</v>
      </c>
      <c r="I4" t="str">
        <f>TEXT(Table2[[#This Row],[Date]],"mmm-yyyy")</f>
        <v>Jan-2026</v>
      </c>
      <c r="M4" t="s">
        <v>23</v>
      </c>
      <c r="N4" s="3">
        <f>SUM(Table2[Cost])</f>
        <v>818000</v>
      </c>
      <c r="Q4" t="s">
        <v>16</v>
      </c>
      <c r="R4" s="38">
        <v>93300</v>
      </c>
    </row>
    <row r="5" spans="1:18">
      <c r="A5" s="2">
        <v>46026</v>
      </c>
      <c r="B5" t="s">
        <v>24</v>
      </c>
      <c r="C5" t="s">
        <v>25</v>
      </c>
      <c r="D5" t="s">
        <v>26</v>
      </c>
      <c r="E5" t="s">
        <v>13</v>
      </c>
      <c r="F5">
        <v>22000</v>
      </c>
      <c r="G5">
        <v>15000</v>
      </c>
      <c r="H5">
        <v>7000</v>
      </c>
      <c r="I5" t="str">
        <f>TEXT(Table2[[#This Row],[Date]],"mmm-yyyy")</f>
        <v>Jan-2026</v>
      </c>
      <c r="M5" t="s">
        <v>27</v>
      </c>
      <c r="N5" s="3">
        <f>SUM(Table2[Profit])</f>
        <v>413700</v>
      </c>
      <c r="Q5" t="s">
        <v>10</v>
      </c>
      <c r="R5" s="38">
        <v>105700</v>
      </c>
    </row>
    <row r="6" spans="1:18">
      <c r="A6" s="2">
        <v>46027</v>
      </c>
      <c r="B6" t="s">
        <v>20</v>
      </c>
      <c r="C6" t="s">
        <v>11</v>
      </c>
      <c r="D6" t="s">
        <v>28</v>
      </c>
      <c r="E6" t="s">
        <v>29</v>
      </c>
      <c r="F6">
        <v>5000</v>
      </c>
      <c r="G6">
        <v>3000</v>
      </c>
      <c r="H6">
        <v>2000</v>
      </c>
      <c r="I6" t="str">
        <f>TEXT(Table2[[#This Row],[Date]],"mmm-yyyy")</f>
        <v>Jan-2026</v>
      </c>
      <c r="M6" t="s">
        <v>30</v>
      </c>
      <c r="N6">
        <f>(N5/N3)*100</f>
        <v>33.587724283510596</v>
      </c>
      <c r="Q6" t="s">
        <v>24</v>
      </c>
      <c r="R6" s="38">
        <v>93200</v>
      </c>
    </row>
    <row r="7" spans="1:18">
      <c r="A7" s="2">
        <v>46028</v>
      </c>
      <c r="B7" t="s">
        <v>10</v>
      </c>
      <c r="C7" t="s">
        <v>17</v>
      </c>
      <c r="D7" t="s">
        <v>31</v>
      </c>
      <c r="E7" t="s">
        <v>29</v>
      </c>
      <c r="F7">
        <v>3000</v>
      </c>
      <c r="G7">
        <v>1800</v>
      </c>
      <c r="H7">
        <v>1200</v>
      </c>
      <c r="I7" t="str">
        <f>TEXT(Table2[[#This Row],[Date]],"mmm-yyyy")</f>
        <v>Jan-2026</v>
      </c>
      <c r="M7" t="s">
        <v>32</v>
      </c>
      <c r="N7">
        <f>COUNT(Table2[Date])</f>
        <v>51</v>
      </c>
      <c r="Q7" t="s">
        <v>33</v>
      </c>
      <c r="R7" s="38">
        <v>413700</v>
      </c>
    </row>
    <row r="8" spans="1:18">
      <c r="A8" s="2">
        <v>46029</v>
      </c>
      <c r="B8" t="s">
        <v>16</v>
      </c>
      <c r="C8" t="s">
        <v>21</v>
      </c>
      <c r="D8" t="s">
        <v>12</v>
      </c>
      <c r="E8" t="s">
        <v>13</v>
      </c>
      <c r="F8">
        <v>48000</v>
      </c>
      <c r="G8">
        <v>32000</v>
      </c>
      <c r="H8">
        <v>16000</v>
      </c>
      <c r="I8" t="str">
        <f>TEXT(Table2[[#This Row],[Date]],"mmm-yyyy")</f>
        <v>Jan-2026</v>
      </c>
      <c r="M8" t="s">
        <v>34</v>
      </c>
      <c r="N8" s="3">
        <f>AVERAGE(Table2[Sales])</f>
        <v>24150.980392156864</v>
      </c>
    </row>
    <row r="9" spans="1:18">
      <c r="A9" s="2">
        <v>46030</v>
      </c>
      <c r="B9" t="s">
        <v>15</v>
      </c>
      <c r="C9" t="s">
        <v>25</v>
      </c>
      <c r="D9" t="s">
        <v>35</v>
      </c>
      <c r="E9" t="s">
        <v>29</v>
      </c>
      <c r="F9">
        <v>7000</v>
      </c>
      <c r="G9">
        <v>4000</v>
      </c>
      <c r="H9">
        <v>3000</v>
      </c>
      <c r="I9" t="str">
        <f>TEXT(Table2[[#This Row],[Date]],"mmm-yyyy")</f>
        <v>Jan-2026</v>
      </c>
    </row>
    <row r="10" spans="1:18">
      <c r="A10" s="2">
        <v>46031</v>
      </c>
      <c r="B10" t="s">
        <v>24</v>
      </c>
      <c r="C10" t="s">
        <v>11</v>
      </c>
      <c r="D10" t="s">
        <v>18</v>
      </c>
      <c r="E10" t="s">
        <v>13</v>
      </c>
      <c r="F10">
        <v>35000</v>
      </c>
      <c r="G10">
        <v>24000</v>
      </c>
      <c r="H10">
        <v>11000</v>
      </c>
      <c r="I10" t="str">
        <f>TEXT(Table2[[#This Row],[Date]],"mmm-yyyy")</f>
        <v>Jan-2026</v>
      </c>
      <c r="M10" s="39" t="s">
        <v>36</v>
      </c>
      <c r="N10" s="36"/>
      <c r="O10" s="36"/>
    </row>
    <row r="11" spans="1:18">
      <c r="A11" s="2">
        <v>46032</v>
      </c>
      <c r="B11" t="s">
        <v>20</v>
      </c>
      <c r="C11" t="s">
        <v>17</v>
      </c>
      <c r="D11" t="s">
        <v>37</v>
      </c>
      <c r="E11" t="s">
        <v>38</v>
      </c>
      <c r="F11">
        <v>18000</v>
      </c>
      <c r="G11">
        <v>12000</v>
      </c>
      <c r="H11">
        <v>6000</v>
      </c>
      <c r="I11" t="str">
        <f>TEXT(Table2[[#This Row],[Date]],"mmm-yyyy")</f>
        <v>Jan-2026</v>
      </c>
      <c r="M11" s="37" t="s">
        <v>3</v>
      </c>
      <c r="N11" t="s">
        <v>39</v>
      </c>
      <c r="O11" t="s">
        <v>9</v>
      </c>
      <c r="Q11" s="39" t="s">
        <v>40</v>
      </c>
      <c r="R11" s="36"/>
    </row>
    <row r="12" spans="1:18">
      <c r="A12" s="2">
        <v>46033</v>
      </c>
      <c r="B12" t="s">
        <v>10</v>
      </c>
      <c r="C12" t="s">
        <v>21</v>
      </c>
      <c r="D12" t="s">
        <v>26</v>
      </c>
      <c r="E12" t="s">
        <v>13</v>
      </c>
      <c r="F12">
        <v>24000</v>
      </c>
      <c r="G12">
        <v>16000</v>
      </c>
      <c r="H12">
        <v>8000</v>
      </c>
      <c r="I12" t="str">
        <f>TEXT(Table2[[#This Row],[Date]],"mmm-yyyy")</f>
        <v>Jan-2026</v>
      </c>
      <c r="M12" t="s">
        <v>35</v>
      </c>
      <c r="N12" s="38">
        <v>40000</v>
      </c>
      <c r="O12" s="38">
        <v>17500</v>
      </c>
      <c r="Q12" s="37" t="s">
        <v>8</v>
      </c>
      <c r="R12" t="s">
        <v>39</v>
      </c>
    </row>
    <row r="13" spans="1:18">
      <c r="A13" s="2">
        <v>46034</v>
      </c>
      <c r="B13" t="s">
        <v>16</v>
      </c>
      <c r="C13" t="s">
        <v>25</v>
      </c>
      <c r="D13" t="s">
        <v>28</v>
      </c>
      <c r="E13" t="s">
        <v>29</v>
      </c>
      <c r="F13">
        <v>5500</v>
      </c>
      <c r="G13">
        <v>3200</v>
      </c>
      <c r="H13">
        <v>2300</v>
      </c>
      <c r="I13" t="str">
        <f>TEXT(Table2[[#This Row],[Date]],"mmm-yyyy")</f>
        <v>Jan-2026</v>
      </c>
      <c r="M13" t="s">
        <v>28</v>
      </c>
      <c r="N13" s="38">
        <v>27500</v>
      </c>
      <c r="O13" s="38">
        <v>11500</v>
      </c>
      <c r="Q13" t="s">
        <v>41</v>
      </c>
      <c r="R13" s="38">
        <v>503200</v>
      </c>
    </row>
    <row r="14" spans="1:18">
      <c r="A14" s="2">
        <v>46035</v>
      </c>
      <c r="B14" t="s">
        <v>15</v>
      </c>
      <c r="C14" t="s">
        <v>11</v>
      </c>
      <c r="D14" t="s">
        <v>22</v>
      </c>
      <c r="E14" t="s">
        <v>13</v>
      </c>
      <c r="F14">
        <v>27000</v>
      </c>
      <c r="G14">
        <v>18000</v>
      </c>
      <c r="H14">
        <v>9000</v>
      </c>
      <c r="I14" t="str">
        <f>TEXT(Table2[[#This Row],[Date]],"mmm-yyyy")</f>
        <v>Jan-2026</v>
      </c>
      <c r="M14" t="s">
        <v>12</v>
      </c>
      <c r="N14" s="38">
        <v>391000</v>
      </c>
      <c r="O14" s="38">
        <v>129000</v>
      </c>
      <c r="Q14" t="s">
        <v>42</v>
      </c>
      <c r="R14" s="38">
        <v>728500</v>
      </c>
    </row>
    <row r="15" spans="1:18">
      <c r="A15" s="2">
        <v>46036</v>
      </c>
      <c r="B15" t="s">
        <v>24</v>
      </c>
      <c r="C15" t="s">
        <v>17</v>
      </c>
      <c r="D15" t="s">
        <v>12</v>
      </c>
      <c r="E15" t="s">
        <v>13</v>
      </c>
      <c r="F15">
        <v>52000</v>
      </c>
      <c r="G15">
        <v>35000</v>
      </c>
      <c r="H15">
        <v>17000</v>
      </c>
      <c r="I15" t="str">
        <f>TEXT(Table2[[#This Row],[Date]],"mmm-yyyy")</f>
        <v>Jan-2026</v>
      </c>
      <c r="M15" t="s">
        <v>26</v>
      </c>
      <c r="N15" s="38">
        <v>168000</v>
      </c>
      <c r="O15" s="38">
        <v>55500</v>
      </c>
      <c r="Q15" t="s">
        <v>33</v>
      </c>
      <c r="R15" s="38">
        <v>1231700</v>
      </c>
    </row>
    <row r="16" spans="1:18">
      <c r="A16" s="2">
        <v>46037</v>
      </c>
      <c r="B16" t="s">
        <v>20</v>
      </c>
      <c r="C16" t="s">
        <v>21</v>
      </c>
      <c r="D16" t="s">
        <v>31</v>
      </c>
      <c r="E16" t="s">
        <v>29</v>
      </c>
      <c r="F16">
        <v>3500</v>
      </c>
      <c r="G16">
        <v>2000</v>
      </c>
      <c r="H16">
        <v>1500</v>
      </c>
      <c r="I16" t="str">
        <f>TEXT(Table2[[#This Row],[Date]],"mmm-yyyy")</f>
        <v>Jan-2026</v>
      </c>
      <c r="M16" t="s">
        <v>31</v>
      </c>
      <c r="N16" s="38">
        <v>19200</v>
      </c>
      <c r="O16" s="38">
        <v>8200</v>
      </c>
    </row>
    <row r="17" spans="1:19">
      <c r="A17" s="2">
        <v>46038</v>
      </c>
      <c r="B17" t="s">
        <v>10</v>
      </c>
      <c r="C17" t="s">
        <v>25</v>
      </c>
      <c r="D17" t="s">
        <v>18</v>
      </c>
      <c r="E17" t="s">
        <v>13</v>
      </c>
      <c r="F17">
        <v>32000</v>
      </c>
      <c r="G17">
        <v>22000</v>
      </c>
      <c r="H17">
        <v>10000</v>
      </c>
      <c r="I17" t="str">
        <f>TEXT(Table2[[#This Row],[Date]],"mmm-yyyy")</f>
        <v>Jan-2026</v>
      </c>
      <c r="M17" t="s">
        <v>18</v>
      </c>
      <c r="N17" s="38">
        <v>273000</v>
      </c>
      <c r="O17" s="38">
        <v>87000</v>
      </c>
    </row>
    <row r="18" spans="1:19">
      <c r="A18" s="2">
        <v>46039</v>
      </c>
      <c r="B18" t="s">
        <v>16</v>
      </c>
      <c r="C18" t="s">
        <v>11</v>
      </c>
      <c r="D18" t="s">
        <v>37</v>
      </c>
      <c r="E18" t="s">
        <v>38</v>
      </c>
      <c r="F18">
        <v>20000</v>
      </c>
      <c r="G18">
        <v>13000</v>
      </c>
      <c r="H18">
        <v>7000</v>
      </c>
      <c r="I18" t="str">
        <f>TEXT(Table2[[#This Row],[Date]],"mmm-yyyy")</f>
        <v>Jan-2026</v>
      </c>
      <c r="M18" t="s">
        <v>37</v>
      </c>
      <c r="N18" s="38">
        <v>117000</v>
      </c>
      <c r="O18" s="38">
        <v>41000</v>
      </c>
    </row>
    <row r="19" spans="1:19">
      <c r="A19" s="2">
        <v>46040</v>
      </c>
      <c r="B19" t="s">
        <v>15</v>
      </c>
      <c r="C19" t="s">
        <v>17</v>
      </c>
      <c r="D19" t="s">
        <v>35</v>
      </c>
      <c r="E19" t="s">
        <v>29</v>
      </c>
      <c r="F19">
        <v>7500</v>
      </c>
      <c r="G19">
        <v>4200</v>
      </c>
      <c r="H19">
        <v>3300</v>
      </c>
      <c r="I19" t="str">
        <f>TEXT(Table2[[#This Row],[Date]],"mmm-yyyy")</f>
        <v>Jan-2026</v>
      </c>
      <c r="M19" t="s">
        <v>22</v>
      </c>
      <c r="N19" s="38">
        <v>196000</v>
      </c>
      <c r="O19" s="38">
        <v>64000</v>
      </c>
      <c r="Q19" s="39" t="s">
        <v>43</v>
      </c>
      <c r="R19" s="36"/>
      <c r="S19" s="36"/>
    </row>
    <row r="20" spans="1:19">
      <c r="A20" s="2">
        <v>46041</v>
      </c>
      <c r="B20" t="s">
        <v>24</v>
      </c>
      <c r="C20" t="s">
        <v>21</v>
      </c>
      <c r="D20" t="s">
        <v>12</v>
      </c>
      <c r="E20" t="s">
        <v>13</v>
      </c>
      <c r="F20">
        <v>46000</v>
      </c>
      <c r="G20">
        <v>31000</v>
      </c>
      <c r="H20">
        <v>15000</v>
      </c>
      <c r="I20" t="str">
        <f>TEXT(Table2[[#This Row],[Date]],"mmm-yyyy")</f>
        <v>Jan-2026</v>
      </c>
      <c r="M20" t="s">
        <v>33</v>
      </c>
      <c r="N20" s="38">
        <v>1231700</v>
      </c>
      <c r="O20" s="38">
        <v>413700</v>
      </c>
      <c r="Q20" s="37" t="s">
        <v>2</v>
      </c>
      <c r="R20" t="s">
        <v>39</v>
      </c>
      <c r="S20" t="s">
        <v>9</v>
      </c>
    </row>
    <row r="21" spans="1:19">
      <c r="A21" s="2">
        <v>46042</v>
      </c>
      <c r="B21" t="s">
        <v>20</v>
      </c>
      <c r="C21" t="s">
        <v>25</v>
      </c>
      <c r="D21" t="s">
        <v>26</v>
      </c>
      <c r="E21" t="s">
        <v>13</v>
      </c>
      <c r="F21">
        <v>23000</v>
      </c>
      <c r="G21">
        <v>15500</v>
      </c>
      <c r="H21">
        <v>7500</v>
      </c>
      <c r="I21" t="str">
        <f>TEXT(Table2[[#This Row],[Date]],"mmm-yyyy")</f>
        <v>Jan-2026</v>
      </c>
      <c r="Q21" t="s">
        <v>21</v>
      </c>
      <c r="R21" s="38">
        <v>339800</v>
      </c>
      <c r="S21" s="38">
        <v>113000</v>
      </c>
    </row>
    <row r="22" spans="1:19">
      <c r="A22" s="2">
        <v>46043</v>
      </c>
      <c r="B22" t="s">
        <v>10</v>
      </c>
      <c r="C22" t="s">
        <v>11</v>
      </c>
      <c r="D22" t="s">
        <v>22</v>
      </c>
      <c r="E22" t="s">
        <v>13</v>
      </c>
      <c r="F22">
        <v>26000</v>
      </c>
      <c r="G22">
        <v>17500</v>
      </c>
      <c r="H22">
        <v>8500</v>
      </c>
      <c r="I22" t="str">
        <f>TEXT(Table2[[#This Row],[Date]],"mmm-yyyy")</f>
        <v>Jan-2026</v>
      </c>
      <c r="Q22" t="s">
        <v>17</v>
      </c>
      <c r="R22" s="38">
        <v>263200</v>
      </c>
      <c r="S22" s="38">
        <v>90000</v>
      </c>
    </row>
    <row r="23" spans="1:19">
      <c r="A23" s="2">
        <v>46044</v>
      </c>
      <c r="B23" t="s">
        <v>16</v>
      </c>
      <c r="C23" t="s">
        <v>17</v>
      </c>
      <c r="D23" t="s">
        <v>28</v>
      </c>
      <c r="E23" t="s">
        <v>29</v>
      </c>
      <c r="F23">
        <v>6000</v>
      </c>
      <c r="G23">
        <v>3500</v>
      </c>
      <c r="H23">
        <v>2500</v>
      </c>
      <c r="I23" t="str">
        <f>TEXT(Table2[[#This Row],[Date]],"mmm-yyyy")</f>
        <v>Jan-2026</v>
      </c>
      <c r="Q23" t="s">
        <v>11</v>
      </c>
      <c r="R23" s="38">
        <v>340200</v>
      </c>
      <c r="S23" s="38">
        <v>114700</v>
      </c>
    </row>
    <row r="24" spans="1:19">
      <c r="A24" s="2">
        <v>46045</v>
      </c>
      <c r="B24" t="s">
        <v>15</v>
      </c>
      <c r="C24" t="s">
        <v>21</v>
      </c>
      <c r="D24" t="s">
        <v>18</v>
      </c>
      <c r="E24" t="s">
        <v>13</v>
      </c>
      <c r="F24">
        <v>34000</v>
      </c>
      <c r="G24">
        <v>23000</v>
      </c>
      <c r="H24">
        <v>11000</v>
      </c>
      <c r="I24" t="str">
        <f>TEXT(Table2[[#This Row],[Date]],"mmm-yyyy")</f>
        <v>Jan-2026</v>
      </c>
      <c r="Q24" t="s">
        <v>25</v>
      </c>
      <c r="R24" s="38">
        <v>288500</v>
      </c>
      <c r="S24" s="38">
        <v>96000</v>
      </c>
    </row>
    <row r="25" spans="1:19">
      <c r="A25" s="2">
        <v>46046</v>
      </c>
      <c r="B25" t="s">
        <v>24</v>
      </c>
      <c r="C25" t="s">
        <v>25</v>
      </c>
      <c r="D25" t="s">
        <v>37</v>
      </c>
      <c r="E25" t="s">
        <v>38</v>
      </c>
      <c r="F25">
        <v>19000</v>
      </c>
      <c r="G25">
        <v>12500</v>
      </c>
      <c r="H25">
        <v>6500</v>
      </c>
      <c r="I25" t="str">
        <f>TEXT(Table2[[#This Row],[Date]],"mmm-yyyy")</f>
        <v>Jan-2026</v>
      </c>
      <c r="Q25" t="s">
        <v>33</v>
      </c>
      <c r="R25" s="38">
        <v>1231700</v>
      </c>
      <c r="S25" s="38">
        <v>413700</v>
      </c>
    </row>
    <row r="26" spans="1:19">
      <c r="A26" s="2">
        <v>46047</v>
      </c>
      <c r="B26" t="s">
        <v>20</v>
      </c>
      <c r="C26" t="s">
        <v>11</v>
      </c>
      <c r="D26" t="s">
        <v>35</v>
      </c>
      <c r="E26" t="s">
        <v>29</v>
      </c>
      <c r="F26">
        <v>8000</v>
      </c>
      <c r="G26">
        <v>4500</v>
      </c>
      <c r="H26">
        <v>3500</v>
      </c>
      <c r="I26" t="str">
        <f>TEXT(Table2[[#This Row],[Date]],"mmm-yyyy")</f>
        <v>Jan-2026</v>
      </c>
    </row>
    <row r="27" spans="1:19">
      <c r="A27" s="2">
        <v>46048</v>
      </c>
      <c r="B27" t="s">
        <v>10</v>
      </c>
      <c r="C27" t="s">
        <v>17</v>
      </c>
      <c r="D27" t="s">
        <v>12</v>
      </c>
      <c r="E27" t="s">
        <v>13</v>
      </c>
      <c r="F27">
        <v>50000</v>
      </c>
      <c r="G27">
        <v>33500</v>
      </c>
      <c r="H27">
        <v>16500</v>
      </c>
      <c r="I27" t="str">
        <f>TEXT(Table2[[#This Row],[Date]],"mmm-yyyy")</f>
        <v>Jan-2026</v>
      </c>
    </row>
    <row r="28" spans="1:19">
      <c r="A28" s="2">
        <v>46049</v>
      </c>
      <c r="B28" t="s">
        <v>16</v>
      </c>
      <c r="C28" t="s">
        <v>21</v>
      </c>
      <c r="D28" t="s">
        <v>26</v>
      </c>
      <c r="E28" t="s">
        <v>13</v>
      </c>
      <c r="F28">
        <v>21000</v>
      </c>
      <c r="G28">
        <v>14000</v>
      </c>
      <c r="H28">
        <v>7000</v>
      </c>
      <c r="I28" t="str">
        <f>TEXT(Table2[[#This Row],[Date]],"mmm-yyyy")</f>
        <v>Jan-2026</v>
      </c>
    </row>
    <row r="29" spans="1:19">
      <c r="A29" s="2">
        <v>46050</v>
      </c>
      <c r="B29" t="s">
        <v>15</v>
      </c>
      <c r="C29" t="s">
        <v>25</v>
      </c>
      <c r="D29" t="s">
        <v>31</v>
      </c>
      <c r="E29" t="s">
        <v>29</v>
      </c>
      <c r="F29">
        <v>4000</v>
      </c>
      <c r="G29">
        <v>2300</v>
      </c>
      <c r="H29">
        <v>1700</v>
      </c>
      <c r="I29" t="str">
        <f>TEXT(Table2[[#This Row],[Date]],"mmm-yyyy")</f>
        <v>Jan-2026</v>
      </c>
    </row>
    <row r="30" spans="1:19">
      <c r="A30" s="2">
        <v>46051</v>
      </c>
      <c r="B30" t="s">
        <v>24</v>
      </c>
      <c r="C30" t="s">
        <v>11</v>
      </c>
      <c r="D30" t="s">
        <v>18</v>
      </c>
      <c r="E30" t="s">
        <v>13</v>
      </c>
      <c r="F30">
        <v>37000</v>
      </c>
      <c r="G30">
        <v>25000</v>
      </c>
      <c r="H30">
        <v>12000</v>
      </c>
      <c r="I30" t="str">
        <f>TEXT(Table2[[#This Row],[Date]],"mmm-yyyy")</f>
        <v>Jan-2026</v>
      </c>
    </row>
    <row r="31" spans="1:19">
      <c r="A31" s="2">
        <v>46052</v>
      </c>
      <c r="B31" t="s">
        <v>20</v>
      </c>
      <c r="C31" t="s">
        <v>17</v>
      </c>
      <c r="D31" t="s">
        <v>22</v>
      </c>
      <c r="E31" t="s">
        <v>13</v>
      </c>
      <c r="F31">
        <v>28000</v>
      </c>
      <c r="G31">
        <v>19000</v>
      </c>
      <c r="H31">
        <v>9000</v>
      </c>
      <c r="I31" t="str">
        <f>TEXT(Table2[[#This Row],[Date]],"mmm-yyyy")</f>
        <v>Jan-2026</v>
      </c>
    </row>
    <row r="32" spans="1:19">
      <c r="A32" s="2">
        <v>46053</v>
      </c>
      <c r="B32" t="s">
        <v>10</v>
      </c>
      <c r="C32" t="s">
        <v>21</v>
      </c>
      <c r="D32" t="s">
        <v>37</v>
      </c>
      <c r="E32" t="s">
        <v>38</v>
      </c>
      <c r="F32">
        <v>17000</v>
      </c>
      <c r="G32">
        <v>11000</v>
      </c>
      <c r="H32">
        <v>6000</v>
      </c>
      <c r="I32" t="str">
        <f>TEXT(Table2[[#This Row],[Date]],"mmm-yyyy")</f>
        <v>Jan-2026</v>
      </c>
    </row>
    <row r="33" spans="1:9">
      <c r="A33" s="2">
        <v>46055</v>
      </c>
      <c r="B33" t="s">
        <v>16</v>
      </c>
      <c r="C33" t="s">
        <v>25</v>
      </c>
      <c r="D33" t="s">
        <v>12</v>
      </c>
      <c r="E33" t="s">
        <v>13</v>
      </c>
      <c r="F33">
        <v>47000</v>
      </c>
      <c r="G33">
        <v>31500</v>
      </c>
      <c r="H33">
        <v>15500</v>
      </c>
      <c r="I33" t="str">
        <f>TEXT(Table2[[#This Row],[Date]],"mmm-yyyy")</f>
        <v>Feb-2026</v>
      </c>
    </row>
    <row r="34" spans="1:9">
      <c r="A34" s="2">
        <v>46056</v>
      </c>
      <c r="B34" t="s">
        <v>15</v>
      </c>
      <c r="C34" t="s">
        <v>11</v>
      </c>
      <c r="D34" t="s">
        <v>28</v>
      </c>
      <c r="E34" t="s">
        <v>29</v>
      </c>
      <c r="F34">
        <v>5200</v>
      </c>
      <c r="G34">
        <v>3000</v>
      </c>
      <c r="H34">
        <v>2200</v>
      </c>
      <c r="I34" t="str">
        <f>TEXT(Table2[[#This Row],[Date]],"mmm-yyyy")</f>
        <v>Feb-2026</v>
      </c>
    </row>
    <row r="35" spans="1:9">
      <c r="A35" s="2">
        <v>46057</v>
      </c>
      <c r="B35" t="s">
        <v>24</v>
      </c>
      <c r="C35" t="s">
        <v>17</v>
      </c>
      <c r="D35" t="s">
        <v>35</v>
      </c>
      <c r="E35" t="s">
        <v>29</v>
      </c>
      <c r="F35">
        <v>8500</v>
      </c>
      <c r="G35">
        <v>4800</v>
      </c>
      <c r="H35">
        <v>3700</v>
      </c>
      <c r="I35" t="str">
        <f>TEXT(Table2[[#This Row],[Date]],"mmm-yyyy")</f>
        <v>Feb-2026</v>
      </c>
    </row>
    <row r="36" spans="1:9">
      <c r="A36" s="2">
        <v>46058</v>
      </c>
      <c r="B36" t="s">
        <v>20</v>
      </c>
      <c r="C36" t="s">
        <v>21</v>
      </c>
      <c r="D36" t="s">
        <v>18</v>
      </c>
      <c r="E36" t="s">
        <v>13</v>
      </c>
      <c r="F36">
        <v>31000</v>
      </c>
      <c r="G36">
        <v>21000</v>
      </c>
      <c r="H36">
        <v>10000</v>
      </c>
      <c r="I36" t="str">
        <f>TEXT(Table2[[#This Row],[Date]],"mmm-yyyy")</f>
        <v>Feb-2026</v>
      </c>
    </row>
    <row r="37" spans="1:9">
      <c r="A37" s="2">
        <v>46059</v>
      </c>
      <c r="B37" t="s">
        <v>10</v>
      </c>
      <c r="C37" t="s">
        <v>25</v>
      </c>
      <c r="D37" t="s">
        <v>26</v>
      </c>
      <c r="E37" t="s">
        <v>13</v>
      </c>
      <c r="F37">
        <v>25000</v>
      </c>
      <c r="G37">
        <v>16500</v>
      </c>
      <c r="H37">
        <v>8500</v>
      </c>
      <c r="I37" t="str">
        <f>TEXT(Table2[[#This Row],[Date]],"mmm-yyyy")</f>
        <v>Feb-2026</v>
      </c>
    </row>
    <row r="38" spans="1:9">
      <c r="A38" s="2">
        <v>46060</v>
      </c>
      <c r="B38" t="s">
        <v>16</v>
      </c>
      <c r="C38" t="s">
        <v>11</v>
      </c>
      <c r="D38" t="s">
        <v>22</v>
      </c>
      <c r="E38" t="s">
        <v>13</v>
      </c>
      <c r="F38">
        <v>29000</v>
      </c>
      <c r="G38">
        <v>19500</v>
      </c>
      <c r="H38">
        <v>9500</v>
      </c>
      <c r="I38" t="str">
        <f>TEXT(Table2[[#This Row],[Date]],"mmm-yyyy")</f>
        <v>Feb-2026</v>
      </c>
    </row>
    <row r="39" spans="1:9">
      <c r="A39" s="2">
        <v>46061</v>
      </c>
      <c r="B39" t="s">
        <v>15</v>
      </c>
      <c r="C39" t="s">
        <v>17</v>
      </c>
      <c r="D39" t="s">
        <v>37</v>
      </c>
      <c r="E39" t="s">
        <v>38</v>
      </c>
      <c r="F39">
        <v>21000</v>
      </c>
      <c r="G39">
        <v>13500</v>
      </c>
      <c r="H39">
        <v>7500</v>
      </c>
      <c r="I39" t="str">
        <f>TEXT(Table2[[#This Row],[Date]],"mmm-yyyy")</f>
        <v>Feb-2026</v>
      </c>
    </row>
    <row r="40" spans="1:9">
      <c r="A40" s="2">
        <v>46062</v>
      </c>
      <c r="B40" t="s">
        <v>24</v>
      </c>
      <c r="C40" t="s">
        <v>21</v>
      </c>
      <c r="D40" t="s">
        <v>31</v>
      </c>
      <c r="E40" t="s">
        <v>29</v>
      </c>
      <c r="F40">
        <v>4500</v>
      </c>
      <c r="G40">
        <v>2500</v>
      </c>
      <c r="H40">
        <v>2000</v>
      </c>
      <c r="I40" t="str">
        <f>TEXT(Table2[[#This Row],[Date]],"mmm-yyyy")</f>
        <v>Feb-2026</v>
      </c>
    </row>
    <row r="41" spans="1:9">
      <c r="A41" s="2">
        <v>46063</v>
      </c>
      <c r="B41" t="s">
        <v>20</v>
      </c>
      <c r="C41" t="s">
        <v>25</v>
      </c>
      <c r="D41" t="s">
        <v>18</v>
      </c>
      <c r="E41" t="s">
        <v>13</v>
      </c>
      <c r="F41">
        <v>36000</v>
      </c>
      <c r="G41">
        <v>24500</v>
      </c>
      <c r="H41">
        <v>11500</v>
      </c>
      <c r="I41" t="str">
        <f>TEXT(Table2[[#This Row],[Date]],"mmm-yyyy")</f>
        <v>Feb-2026</v>
      </c>
    </row>
    <row r="42" spans="1:9">
      <c r="A42" s="2">
        <v>46064</v>
      </c>
      <c r="B42" t="s">
        <v>10</v>
      </c>
      <c r="C42" t="s">
        <v>11</v>
      </c>
      <c r="D42" t="s">
        <v>12</v>
      </c>
      <c r="E42" t="s">
        <v>13</v>
      </c>
      <c r="F42">
        <v>54000</v>
      </c>
      <c r="G42">
        <v>36000</v>
      </c>
      <c r="H42">
        <v>18000</v>
      </c>
      <c r="I42" t="str">
        <f>TEXT(Table2[[#This Row],[Date]],"mmm-yyyy")</f>
        <v>Feb-2026</v>
      </c>
    </row>
    <row r="43" spans="1:9">
      <c r="A43" s="2">
        <v>46065</v>
      </c>
      <c r="B43" t="s">
        <v>16</v>
      </c>
      <c r="C43" t="s">
        <v>17</v>
      </c>
      <c r="D43" t="s">
        <v>26</v>
      </c>
      <c r="E43" t="s">
        <v>13</v>
      </c>
      <c r="F43">
        <v>26000</v>
      </c>
      <c r="G43">
        <v>17500</v>
      </c>
      <c r="H43">
        <v>8500</v>
      </c>
      <c r="I43" t="str">
        <f>TEXT(Table2[[#This Row],[Date]],"mmm-yyyy")</f>
        <v>Feb-2026</v>
      </c>
    </row>
    <row r="44" spans="1:9">
      <c r="A44" s="2">
        <v>46066</v>
      </c>
      <c r="B44" t="s">
        <v>15</v>
      </c>
      <c r="C44" t="s">
        <v>21</v>
      </c>
      <c r="D44" t="s">
        <v>28</v>
      </c>
      <c r="E44" t="s">
        <v>29</v>
      </c>
      <c r="F44">
        <v>5800</v>
      </c>
      <c r="G44">
        <v>3300</v>
      </c>
      <c r="H44">
        <v>2500</v>
      </c>
      <c r="I44" t="str">
        <f>TEXT(Table2[[#This Row],[Date]],"mmm-yyyy")</f>
        <v>Feb-2026</v>
      </c>
    </row>
    <row r="45" spans="1:9">
      <c r="A45" s="2">
        <v>46067</v>
      </c>
      <c r="B45" t="s">
        <v>24</v>
      </c>
      <c r="C45" t="s">
        <v>25</v>
      </c>
      <c r="D45" t="s">
        <v>22</v>
      </c>
      <c r="E45" t="s">
        <v>13</v>
      </c>
      <c r="F45">
        <v>30000</v>
      </c>
      <c r="G45">
        <v>20000</v>
      </c>
      <c r="H45">
        <v>10000</v>
      </c>
      <c r="I45" t="str">
        <f>TEXT(Table2[[#This Row],[Date]],"mmm-yyyy")</f>
        <v>Feb-2026</v>
      </c>
    </row>
    <row r="46" spans="1:9">
      <c r="A46" s="2">
        <v>46068</v>
      </c>
      <c r="B46" t="s">
        <v>20</v>
      </c>
      <c r="C46" t="s">
        <v>11</v>
      </c>
      <c r="D46" t="s">
        <v>37</v>
      </c>
      <c r="E46" t="s">
        <v>38</v>
      </c>
      <c r="F46">
        <v>22000</v>
      </c>
      <c r="G46">
        <v>14000</v>
      </c>
      <c r="H46">
        <v>8000</v>
      </c>
      <c r="I46" t="str">
        <f>TEXT(Table2[[#This Row],[Date]],"mmm-yyyy")</f>
        <v>Feb-2026</v>
      </c>
    </row>
    <row r="47" spans="1:9">
      <c r="A47" s="2">
        <v>46069</v>
      </c>
      <c r="B47" t="s">
        <v>10</v>
      </c>
      <c r="C47" t="s">
        <v>17</v>
      </c>
      <c r="D47" t="s">
        <v>35</v>
      </c>
      <c r="E47" t="s">
        <v>29</v>
      </c>
      <c r="F47">
        <v>9000</v>
      </c>
      <c r="G47">
        <v>5000</v>
      </c>
      <c r="H47">
        <v>4000</v>
      </c>
      <c r="I47" t="str">
        <f>TEXT(Table2[[#This Row],[Date]],"mmm-yyyy")</f>
        <v>Feb-2026</v>
      </c>
    </row>
    <row r="48" spans="1:9">
      <c r="A48" s="2">
        <v>46070</v>
      </c>
      <c r="B48" t="s">
        <v>16</v>
      </c>
      <c r="C48" t="s">
        <v>21</v>
      </c>
      <c r="D48" t="s">
        <v>12</v>
      </c>
      <c r="E48" t="s">
        <v>13</v>
      </c>
      <c r="F48">
        <v>49000</v>
      </c>
      <c r="G48">
        <v>33000</v>
      </c>
      <c r="H48">
        <v>16000</v>
      </c>
      <c r="I48" t="str">
        <f>TEXT(Table2[[#This Row],[Date]],"mmm-yyyy")</f>
        <v>Feb-2026</v>
      </c>
    </row>
    <row r="49" spans="1:9">
      <c r="A49" s="2">
        <v>46071</v>
      </c>
      <c r="B49" t="s">
        <v>15</v>
      </c>
      <c r="C49" t="s">
        <v>25</v>
      </c>
      <c r="D49" t="s">
        <v>18</v>
      </c>
      <c r="E49" t="s">
        <v>13</v>
      </c>
      <c r="F49">
        <v>38000</v>
      </c>
      <c r="G49">
        <v>25500</v>
      </c>
      <c r="H49">
        <v>12500</v>
      </c>
      <c r="I49" t="str">
        <f>TEXT(Table2[[#This Row],[Date]],"mmm-yyyy")</f>
        <v>Feb-2026</v>
      </c>
    </row>
    <row r="50" spans="1:9">
      <c r="A50" s="2">
        <v>46072</v>
      </c>
      <c r="B50" t="s">
        <v>24</v>
      </c>
      <c r="C50" t="s">
        <v>11</v>
      </c>
      <c r="D50" t="s">
        <v>26</v>
      </c>
      <c r="E50" t="s">
        <v>13</v>
      </c>
      <c r="F50">
        <v>27000</v>
      </c>
      <c r="G50">
        <v>18000</v>
      </c>
      <c r="H50">
        <v>9000</v>
      </c>
      <c r="I50" t="str">
        <f>TEXT(Table2[[#This Row],[Date]],"mmm-yyyy")</f>
        <v>Feb-2026</v>
      </c>
    </row>
    <row r="51" spans="1:9">
      <c r="A51" s="2">
        <v>46073</v>
      </c>
      <c r="B51" t="s">
        <v>20</v>
      </c>
      <c r="C51" t="s">
        <v>17</v>
      </c>
      <c r="D51" t="s">
        <v>31</v>
      </c>
      <c r="E51" t="s">
        <v>29</v>
      </c>
      <c r="F51">
        <v>4200</v>
      </c>
      <c r="G51">
        <v>2400</v>
      </c>
      <c r="H51">
        <v>1800</v>
      </c>
      <c r="I51" t="str">
        <f>TEXT(Table2[[#This Row],[Date]],"mmm-yyyy")</f>
        <v>Feb-2026</v>
      </c>
    </row>
    <row r="52" spans="1:9">
      <c r="A52" s="2">
        <v>46074</v>
      </c>
      <c r="B52" t="s">
        <v>10</v>
      </c>
      <c r="C52" t="s">
        <v>21</v>
      </c>
      <c r="D52" t="s">
        <v>22</v>
      </c>
      <c r="E52" t="s">
        <v>13</v>
      </c>
      <c r="F52">
        <v>31000</v>
      </c>
      <c r="G52">
        <v>21000</v>
      </c>
      <c r="H52">
        <v>10000</v>
      </c>
      <c r="I52" t="str">
        <f>TEXT(Table2[[#This Row],[Date]],"mmm-yyyy")</f>
        <v>Feb-2026</v>
      </c>
    </row>
  </sheetData>
  <mergeCells count="4">
    <mergeCell ref="M10:O10"/>
    <mergeCell ref="Q11:R11"/>
    <mergeCell ref="Q19:S19"/>
    <mergeCell ref="M2:N2"/>
  </mergeCell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62033-FEF1-4589-A6FE-302BDCD4083A}">
  <dimension ref="E1:Q13"/>
  <sheetViews>
    <sheetView tabSelected="1" topLeftCell="C1" workbookViewId="0">
      <selection activeCell="O11" sqref="O11:Q13"/>
    </sheetView>
  </sheetViews>
  <sheetFormatPr defaultRowHeight="15"/>
  <cols>
    <col min="6" max="6" width="14.28515625" bestFit="1" customWidth="1"/>
    <col min="11" max="11" width="12.42578125" bestFit="1" customWidth="1"/>
    <col min="16" max="16" width="12.42578125" bestFit="1" customWidth="1"/>
  </cols>
  <sheetData>
    <row r="1" spans="5:17">
      <c r="E1" s="4" t="s">
        <v>44</v>
      </c>
      <c r="F1" s="5"/>
      <c r="G1" s="6"/>
      <c r="J1" s="10" t="s">
        <v>45</v>
      </c>
      <c r="K1" s="11"/>
      <c r="L1" s="12"/>
      <c r="O1" s="16" t="s">
        <v>46</v>
      </c>
      <c r="P1" s="17"/>
      <c r="Q1" s="18"/>
    </row>
    <row r="2" spans="5:17">
      <c r="E2" s="7"/>
      <c r="F2" s="8"/>
      <c r="G2" s="9"/>
      <c r="J2" s="13"/>
      <c r="K2" s="14"/>
      <c r="L2" s="15"/>
      <c r="O2" s="19"/>
      <c r="P2" s="20"/>
      <c r="Q2" s="21"/>
    </row>
    <row r="3" spans="5:17">
      <c r="E3" s="22">
        <f>dataset!N3</f>
        <v>1231700</v>
      </c>
      <c r="F3" s="23"/>
      <c r="G3" s="24"/>
      <c r="J3" s="22">
        <f>dataset!N5</f>
        <v>413700</v>
      </c>
      <c r="K3" s="23"/>
      <c r="L3" s="24"/>
      <c r="O3" s="22">
        <f>dataset!N4</f>
        <v>818000</v>
      </c>
      <c r="P3" s="23"/>
      <c r="Q3" s="24"/>
    </row>
    <row r="4" spans="5:17">
      <c r="E4" s="25"/>
      <c r="F4" s="26"/>
      <c r="G4" s="27"/>
      <c r="J4" s="25"/>
      <c r="K4" s="26"/>
      <c r="L4" s="27"/>
      <c r="O4" s="25"/>
      <c r="P4" s="26"/>
      <c r="Q4" s="27"/>
    </row>
    <row r="5" spans="5:17">
      <c r="E5" s="28"/>
      <c r="F5" s="29"/>
      <c r="G5" s="30"/>
      <c r="J5" s="28"/>
      <c r="K5" s="29"/>
      <c r="L5" s="30"/>
      <c r="O5" s="28"/>
      <c r="P5" s="29"/>
      <c r="Q5" s="30"/>
    </row>
    <row r="9" spans="5:17" ht="15" customHeight="1">
      <c r="E9" s="4" t="s">
        <v>47</v>
      </c>
      <c r="F9" s="5"/>
      <c r="G9" s="6"/>
      <c r="J9" s="10" t="s">
        <v>48</v>
      </c>
      <c r="K9" s="31"/>
      <c r="L9" s="32"/>
      <c r="O9" s="16" t="s">
        <v>49</v>
      </c>
      <c r="P9" s="17"/>
      <c r="Q9" s="18"/>
    </row>
    <row r="10" spans="5:17">
      <c r="E10" s="7"/>
      <c r="F10" s="8"/>
      <c r="G10" s="9"/>
      <c r="J10" s="33"/>
      <c r="K10" s="34"/>
      <c r="L10" s="35"/>
      <c r="O10" s="19"/>
      <c r="P10" s="20"/>
      <c r="Q10" s="21"/>
    </row>
    <row r="11" spans="5:17" ht="15" customHeight="1">
      <c r="E11" s="40">
        <f>dataset!N6</f>
        <v>33.587724283510596</v>
      </c>
      <c r="F11" s="41"/>
      <c r="G11" s="42"/>
      <c r="J11" s="49">
        <f>dataset!N7</f>
        <v>51</v>
      </c>
      <c r="K11" s="50"/>
      <c r="L11" s="51"/>
      <c r="O11" s="22">
        <f>dataset!N8</f>
        <v>24150.980392156864</v>
      </c>
      <c r="P11" s="23"/>
      <c r="Q11" s="24"/>
    </row>
    <row r="12" spans="5:17" ht="15" customHeight="1">
      <c r="E12" s="43"/>
      <c r="F12" s="44"/>
      <c r="G12" s="45"/>
      <c r="J12" s="52"/>
      <c r="K12" s="53"/>
      <c r="L12" s="54"/>
      <c r="O12" s="25"/>
      <c r="P12" s="26"/>
      <c r="Q12" s="27"/>
    </row>
    <row r="13" spans="5:17">
      <c r="E13" s="46"/>
      <c r="F13" s="47"/>
      <c r="G13" s="48"/>
      <c r="O13" s="28"/>
      <c r="P13" s="29"/>
      <c r="Q13" s="30"/>
    </row>
  </sheetData>
  <mergeCells count="12">
    <mergeCell ref="E9:G10"/>
    <mergeCell ref="J9:L10"/>
    <mergeCell ref="O9:Q10"/>
    <mergeCell ref="E11:G13"/>
    <mergeCell ref="J11:L12"/>
    <mergeCell ref="O11:Q13"/>
    <mergeCell ref="E1:G2"/>
    <mergeCell ref="J1:L2"/>
    <mergeCell ref="O1:Q2"/>
    <mergeCell ref="E3:G5"/>
    <mergeCell ref="J3:L5"/>
    <mergeCell ref="O3:Q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2026-08-17T09:54:13Z</dcterms:created>
  <dcterms:modified xsi:type="dcterms:W3CDTF">2026-08-17T10:27:35Z</dcterms:modified>
  <cp:category/>
  <cp:contentStatus/>
</cp:coreProperties>
</file>