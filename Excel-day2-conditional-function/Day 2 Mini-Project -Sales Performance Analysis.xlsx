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DD716307-8131-4DD9-9A27-2EA208B62A5C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ales_Data" sheetId="1" r:id="rId1"/>
    <sheet name="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3" i="2"/>
  <c r="B11" i="2"/>
  <c r="B10" i="2"/>
  <c r="B9" i="2"/>
  <c r="B8" i="2"/>
  <c r="B7" i="2"/>
  <c r="B6" i="2"/>
  <c r="B5" i="2"/>
  <c r="B4" i="2"/>
  <c r="B3" i="2"/>
  <c r="B2" i="2"/>
  <c r="B12" i="2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<sst xmlns="http://schemas.openxmlformats.org/spreadsheetml/2006/main" count="46" uniqueCount="39">
  <si>
    <t>Employee</t>
  </si>
  <si>
    <t>Region</t>
  </si>
  <si>
    <t>Sales</t>
  </si>
  <si>
    <t>Rating</t>
  </si>
  <si>
    <t>Experience</t>
  </si>
  <si>
    <t>Performance</t>
  </si>
  <si>
    <t>Eligibility</t>
  </si>
  <si>
    <t>A</t>
  </si>
  <si>
    <t>South</t>
  </si>
  <si>
    <t>B</t>
  </si>
  <si>
    <t>North</t>
  </si>
  <si>
    <t>C</t>
  </si>
  <si>
    <t>D</t>
  </si>
  <si>
    <t>West</t>
  </si>
  <si>
    <t>E</t>
  </si>
  <si>
    <t>F</t>
  </si>
  <si>
    <t>G</t>
  </si>
  <si>
    <t>H</t>
  </si>
  <si>
    <t>I</t>
  </si>
  <si>
    <t>J</t>
  </si>
  <si>
    <t>METRICS</t>
  </si>
  <si>
    <t>RESULT</t>
  </si>
  <si>
    <t>Total Employees</t>
  </si>
  <si>
    <t>South Employees</t>
  </si>
  <si>
    <t>West Employees</t>
  </si>
  <si>
    <t>Employees with Sales ≥ ₹70,000</t>
  </si>
  <si>
    <t>South Employees with Sales ≥ ₹50,000</t>
  </si>
  <si>
    <t>Total South Sales</t>
  </si>
  <si>
    <t>Total West Sales</t>
  </si>
  <si>
    <t>Total North Sales ≥ ₹70,000</t>
  </si>
  <si>
    <t>Average South Sales</t>
  </si>
  <si>
    <t>Average West Sales with Rating ≥ 3</t>
  </si>
  <si>
    <t>Total North Sales</t>
  </si>
  <si>
    <t>Average North Sales</t>
  </si>
  <si>
    <t>Average West Sales</t>
  </si>
  <si>
    <t>Count of employee eligibility</t>
  </si>
  <si>
    <t>Count of excellent performance</t>
  </si>
  <si>
    <t>percentage of eligibity</t>
  </si>
  <si>
    <t>Sales ≥ ₹50,000 AND (South OR West) AND Rating ≥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</si>
</sst>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C659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2" borderId="0" xfId="0" applyFont="1" applyFill="1"/>
    <xf numFmtId="0" fontId="3" fillId="0" borderId="0" xfId="0" applyFont="1"/>
    <xf numFmtId="0" fontId="3" fillId="0" borderId="0" xfId="0" applyNumberFormat="1" applyFont="1"/>
    <xf numFmtId="2" fontId="3" fillId="0" borderId="0" xfId="0" applyNumberFormat="1" applyFont="1"/>
    <xf numFmtId="0" fontId="3" fillId="2" borderId="1" xfId="0" applyFont="1" applyFill="1" applyBorder="1"/>
    <xf numFmtId="0" fontId="4" fillId="0" borderId="2" xfId="0" applyFont="1" applyBorder="1"/>
    <xf numFmtId="0" fontId="5" fillId="2" borderId="0" xfId="0" applyFont="1" applyFill="1"/>
    <xf numFmtId="0" fontId="5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322A1-9E1A-4085-BE61-6B2601C23010}" name="Table2" displayName="Table2" ref="A1:G11" totalsRowShown="0" headerRowDxfId="0">
  <autoFilter ref="A1:G11" xr:uid="{D69322A1-9E1A-4085-BE61-6B2601C23010}"/>
  <tableColumns count="7">
    <tableColumn id="1" xr3:uid="{6F7AED15-5097-4F35-B85B-E1AA1BFAC9BA}" name="Employee"/>
    <tableColumn id="2" xr3:uid="{DC4D633B-07B1-4160-A033-23C0AD838FA0}" name="Region"/>
    <tableColumn id="3" xr3:uid="{7A7D22B8-32E4-421A-A688-D405CC4916E2}" name="Sales"/>
    <tableColumn id="4" xr3:uid="{2AC69D5A-53DD-41F3-8A56-AD18C616DA3C}" name="Rating"/>
    <tableColumn id="5" xr3:uid="{6EE6AFC2-86D9-4B43-AB84-D1A4A038C166}" name="Experience"/>
    <tableColumn id="6" xr3:uid="{48EB5B15-3810-47D2-A203-CC8872B9D7FF}" name="Performance">
      <calculatedColumnFormula>IF(C2&gt;=80000,"Excellent",IF(C2&gt;=60000,"Good",IF(C2&gt;=40000,"Average","Poor")))</calculatedColumnFormula>
    </tableColumn>
    <tableColumn id="7" xr3:uid="{F7C0673E-1150-47AD-8565-EFB157F972C3}" name="Eligibility">
      <calculatedColumnFormula>IF(AND(C2&gt;=60000,D2&gt;=4),"Eligible","Not Eligible")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RowColHeaders="0" workbookViewId="0">
      <selection activeCell="K14" sqref="K14"/>
    </sheetView>
  </sheetViews>
  <sheetFormatPr defaultRowHeight="15"/>
  <cols>
    <col min="1" max="1" width="2.42578125" customWidth="1"/>
    <col min="2" max="2" width="6.28515625" bestFit="1" customWidth="1"/>
    <col min="3" max="3" width="6.5703125" bestFit="1" customWidth="1"/>
    <col min="4" max="5" width="2.28515625" bestFit="1" customWidth="1"/>
    <col min="6" max="6" width="9" bestFit="1" customWidth="1"/>
    <col min="7" max="7" width="11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>
        <v>45000</v>
      </c>
      <c r="D2">
        <v>3</v>
      </c>
      <c r="E2">
        <v>1</v>
      </c>
      <c r="F2" t="str">
        <f>IF(C2&gt;=80000,"Excellent",IF(C2&gt;=60000,"Good",IF(C2&gt;=40000,"Average","Poor")))</f>
        <v>Average</v>
      </c>
      <c r="G2" t="str">
        <f>IF(AND(C2&gt;=60000,D2&gt;=4),"Eligible","Not Eligible")</f>
        <v>Not Eligible</v>
      </c>
    </row>
    <row r="3" spans="1:7">
      <c r="A3" t="s">
        <v>9</v>
      </c>
      <c r="B3" t="s">
        <v>10</v>
      </c>
      <c r="C3">
        <v>72000</v>
      </c>
      <c r="D3">
        <v>4</v>
      </c>
      <c r="E3">
        <v>3</v>
      </c>
      <c r="F3" t="str">
        <f t="shared" ref="F3:F11" si="0">IF(C3&gt;=80000,"Excellent",IF(C3&gt;=60000,"Good",IF(C3&gt;=40000,"Average","Poor")))</f>
        <v>Good</v>
      </c>
      <c r="G3" t="str">
        <f t="shared" ref="G3:G11" si="1">IF(AND(C3&gt;=60000,D3&gt;=4),"Eligible","Not Eligible")</f>
        <v>Eligible</v>
      </c>
    </row>
    <row r="4" spans="1:7">
      <c r="A4" t="s">
        <v>11</v>
      </c>
      <c r="B4" t="s">
        <v>8</v>
      </c>
      <c r="C4">
        <v>38000</v>
      </c>
      <c r="D4">
        <v>2</v>
      </c>
      <c r="E4">
        <v>1</v>
      </c>
      <c r="F4" t="str">
        <f t="shared" si="0"/>
        <v>Poor</v>
      </c>
      <c r="G4" t="str">
        <f t="shared" si="1"/>
        <v>Not Eligible</v>
      </c>
    </row>
    <row r="5" spans="1:7">
      <c r="A5" t="s">
        <v>12</v>
      </c>
      <c r="B5" t="s">
        <v>13</v>
      </c>
      <c r="C5">
        <v>91000</v>
      </c>
      <c r="D5">
        <v>5</v>
      </c>
      <c r="E5">
        <v>5</v>
      </c>
      <c r="F5" t="str">
        <f t="shared" si="0"/>
        <v>Excellent</v>
      </c>
      <c r="G5" t="str">
        <f t="shared" si="1"/>
        <v>Eligible</v>
      </c>
    </row>
    <row r="6" spans="1:7">
      <c r="A6" t="s">
        <v>14</v>
      </c>
      <c r="B6" t="s">
        <v>8</v>
      </c>
      <c r="C6">
        <v>55000</v>
      </c>
      <c r="D6">
        <v>4</v>
      </c>
      <c r="E6">
        <v>2</v>
      </c>
      <c r="F6" t="str">
        <f t="shared" si="0"/>
        <v>Average</v>
      </c>
      <c r="G6" t="str">
        <f t="shared" si="1"/>
        <v>Not Eligible</v>
      </c>
    </row>
    <row r="7" spans="1:7">
      <c r="A7" t="s">
        <v>15</v>
      </c>
      <c r="B7" t="s">
        <v>13</v>
      </c>
      <c r="C7">
        <v>62000</v>
      </c>
      <c r="D7">
        <v>3</v>
      </c>
      <c r="E7">
        <v>4</v>
      </c>
      <c r="F7" t="str">
        <f t="shared" si="0"/>
        <v>Good</v>
      </c>
      <c r="G7" t="str">
        <f t="shared" si="1"/>
        <v>Not Eligible</v>
      </c>
    </row>
    <row r="8" spans="1:7">
      <c r="A8" t="s">
        <v>16</v>
      </c>
      <c r="B8" t="s">
        <v>10</v>
      </c>
      <c r="C8">
        <v>48000</v>
      </c>
      <c r="D8">
        <v>3</v>
      </c>
      <c r="E8">
        <v>2</v>
      </c>
      <c r="F8" t="str">
        <f t="shared" si="0"/>
        <v>Average</v>
      </c>
      <c r="G8" t="str">
        <f t="shared" si="1"/>
        <v>Not Eligible</v>
      </c>
    </row>
    <row r="9" spans="1:7">
      <c r="A9" t="s">
        <v>17</v>
      </c>
      <c r="B9" t="s">
        <v>8</v>
      </c>
      <c r="C9">
        <v>80000</v>
      </c>
      <c r="D9">
        <v>5</v>
      </c>
      <c r="E9">
        <v>4</v>
      </c>
      <c r="F9" t="str">
        <f t="shared" si="0"/>
        <v>Excellent</v>
      </c>
      <c r="G9" t="str">
        <f t="shared" si="1"/>
        <v>Eligible</v>
      </c>
    </row>
    <row r="10" spans="1:7">
      <c r="A10" t="s">
        <v>18</v>
      </c>
      <c r="B10" t="s">
        <v>13</v>
      </c>
      <c r="C10">
        <v>42000</v>
      </c>
      <c r="D10">
        <v>2</v>
      </c>
      <c r="E10">
        <v>1</v>
      </c>
      <c r="F10" t="str">
        <f t="shared" si="0"/>
        <v>Average</v>
      </c>
      <c r="G10" t="str">
        <f t="shared" si="1"/>
        <v>Not Eligible</v>
      </c>
    </row>
    <row r="11" spans="1:7">
      <c r="A11" t="s">
        <v>19</v>
      </c>
      <c r="B11" t="s">
        <v>10</v>
      </c>
      <c r="C11">
        <v>85000</v>
      </c>
      <c r="D11">
        <v>5</v>
      </c>
      <c r="E11">
        <v>5</v>
      </c>
      <c r="F11" t="str">
        <f t="shared" si="0"/>
        <v>Excellent</v>
      </c>
      <c r="G11" t="str">
        <f t="shared" si="1"/>
        <v>Eligible</v>
      </c>
    </row>
    <row r="20" spans="6:6">
      <c r="F2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665B-858D-4AA8-994F-26124622EFF0}">
  <dimension ref="A1:B18"/>
  <sheetViews>
    <sheetView tabSelected="1" workbookViewId="0">
      <selection activeCell="B18" sqref="B18"/>
    </sheetView>
  </sheetViews>
  <sheetFormatPr defaultRowHeight="15"/>
  <cols>
    <col min="1" max="1" width="48.7109375" bestFit="1" customWidth="1"/>
    <col min="2" max="2" width="9.28515625" bestFit="1" customWidth="1"/>
  </cols>
  <sheetData>
    <row r="1" spans="1:2">
      <c r="A1" s="9" t="s">
        <v>20</v>
      </c>
      <c r="B1" s="9" t="s">
        <v>21</v>
      </c>
    </row>
    <row r="2" spans="1:2">
      <c r="A2" s="4" t="s">
        <v>22</v>
      </c>
      <c r="B2" s="4">
        <f>COUNTA(Sales_Data!A2:A11)</f>
        <v>10</v>
      </c>
    </row>
    <row r="3" spans="1:2">
      <c r="A3" s="5" t="s">
        <v>23</v>
      </c>
      <c r="B3" s="5">
        <f>COUNTIF(Sales_Data!B2:B11,"South")</f>
        <v>4</v>
      </c>
    </row>
    <row r="4" spans="1:2">
      <c r="A4" s="4" t="s">
        <v>24</v>
      </c>
      <c r="B4" s="4">
        <f>COUNTIF(Sales_Data!B2:B11,"West")</f>
        <v>3</v>
      </c>
    </row>
    <row r="5" spans="1:2">
      <c r="A5" s="5" t="s">
        <v>25</v>
      </c>
      <c r="B5" s="5">
        <f>COUNTIF(Sales_Data!C2:C11,"&gt;=70000")</f>
        <v>4</v>
      </c>
    </row>
    <row r="6" spans="1:2">
      <c r="A6" s="4" t="s">
        <v>26</v>
      </c>
      <c r="B6" s="4">
        <f>COUNTIFS(Sales_Data!B2:B11,"South",Sales_Data!C2:C11,"&gt;=50000")</f>
        <v>2</v>
      </c>
    </row>
    <row r="7" spans="1:2">
      <c r="A7" s="5" t="s">
        <v>27</v>
      </c>
      <c r="B7" s="6">
        <f>SUMIF(Sales_Data!B2:B11,"South",Sales_Data!C2:C11)</f>
        <v>218000</v>
      </c>
    </row>
    <row r="8" spans="1:2">
      <c r="A8" s="4" t="s">
        <v>28</v>
      </c>
      <c r="B8" s="4">
        <f>SUMIF(Sales_Data!B2:B11,"West",Sales_Data!C2:C11)</f>
        <v>195000</v>
      </c>
    </row>
    <row r="9" spans="1:2">
      <c r="A9" s="5" t="s">
        <v>29</v>
      </c>
      <c r="B9" s="5">
        <f>SUMIFS(Sales_Data!C2:C11,Sales_Data!B2:B11,"North",Sales_Data!C2:C11,"&gt;=70000")</f>
        <v>157000</v>
      </c>
    </row>
    <row r="10" spans="1:2">
      <c r="A10" s="4" t="s">
        <v>30</v>
      </c>
      <c r="B10" s="4">
        <f>AVERAGEIF(Sales_Data!B2:B11,"South",Sales_Data!C2:C11)</f>
        <v>54500</v>
      </c>
    </row>
    <row r="11" spans="1:2">
      <c r="A11" s="5" t="s">
        <v>31</v>
      </c>
      <c r="B11" s="5">
        <f>AVERAGEIFS(Sales_Data!C2:C11,Sales_Data!B2:B11,"West",Sales_Data!D2:D11,"&gt;=3")</f>
        <v>76500</v>
      </c>
    </row>
    <row r="12" spans="1:2">
      <c r="A12" s="4" t="s">
        <v>32</v>
      </c>
      <c r="B12" s="4">
        <f>SUMIF(Sales_Data!B2:B11,"North",Sales_Data!C2:C11)</f>
        <v>205000</v>
      </c>
    </row>
    <row r="13" spans="1:2">
      <c r="A13" s="11" t="s">
        <v>33</v>
      </c>
      <c r="B13" s="7">
        <f>AVERAGEIF(Sales_Data!B2:B11,"North",Sales_Data!C2:C11)</f>
        <v>68333.333333333328</v>
      </c>
    </row>
    <row r="14" spans="1:2">
      <c r="A14" s="10" t="s">
        <v>34</v>
      </c>
      <c r="B14" s="4">
        <f>AVERAGEIF(Sales_Data!B2:B11,"West",Sales_Data!C2:C11)</f>
        <v>65000</v>
      </c>
    </row>
    <row r="15" spans="1:2">
      <c r="A15" s="5" t="s">
        <v>35</v>
      </c>
      <c r="B15" s="5">
        <f>COUNTIF(Sales_Data!G2:G11,"Eligible")</f>
        <v>4</v>
      </c>
    </row>
    <row r="16" spans="1:2">
      <c r="A16" s="4" t="s">
        <v>36</v>
      </c>
      <c r="B16" s="4">
        <f>COUNTIF(Sales_Data!F2:F11,"Excellent")</f>
        <v>3</v>
      </c>
    </row>
    <row r="17" spans="1:2">
      <c r="A17" s="5" t="s">
        <v>37</v>
      </c>
      <c r="B17" s="7">
        <f>COUNTIF(Sales_Data!G2:G11,"Eligible")/COUNTA(Sales_Data!G2:G11)*100</f>
        <v>40</v>
      </c>
    </row>
    <row r="18" spans="1:2">
      <c r="A18" s="8" t="s">
        <v>38</v>
      </c>
      <c r="B18" s="8">
        <f>COUNTIFS(Sales_Data!C2:C11,"&gt;=50000",Sales_Data!B2:B11,"South",Sales_Data!D2:D11,"&gt;=4")+COUNTIFS(Sales_Data!C2:C11,"&gt;=50000",Sales_Data!B2:B11,"West",Sales_Data!D2:D11,"&gt;=4")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2026-08-12T05:54:07Z</dcterms:created>
  <dcterms:modified xsi:type="dcterms:W3CDTF">2026-08-12T07:35:08Z</dcterms:modified>
  <cp:category/>
  <cp:contentStatus/>
</cp:coreProperties>
</file>