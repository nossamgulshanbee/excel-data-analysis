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1EC035FF-AEA6-4D86-8A66-0F61FBDD40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D18" i="1"/>
  <c r="D23" i="1"/>
  <c r="D21" i="1"/>
  <c r="D20" i="1"/>
  <c r="D19" i="1"/>
  <c r="D17" i="1"/>
</calcChain>
</file>

<file path=xl/sharedStrings.xml><?xml version="1.0" encoding="utf-8"?>
<sst xmlns="http://schemas.openxmlformats.org/spreadsheetml/2006/main" count="109" uniqueCount="35">
  <si>
    <t>Order_ID</t>
  </si>
  <si>
    <t>Product</t>
  </si>
  <si>
    <t>Region</t>
  </si>
  <si>
    <t>Sales</t>
  </si>
  <si>
    <t>Profit</t>
  </si>
  <si>
    <t>Order_Date</t>
  </si>
  <si>
    <t>O1001</t>
  </si>
  <si>
    <t>Laptop</t>
  </si>
  <si>
    <t>Bangalore</t>
  </si>
  <si>
    <t>O1005</t>
  </si>
  <si>
    <t>Chennai</t>
  </si>
  <si>
    <t>O1002</t>
  </si>
  <si>
    <t>Mouse</t>
  </si>
  <si>
    <t>O1013</t>
  </si>
  <si>
    <t>Hyderabad</t>
  </si>
  <si>
    <t>O1003</t>
  </si>
  <si>
    <t>Keyboard</t>
  </si>
  <si>
    <t>O1004</t>
  </si>
  <si>
    <t>Monitor</t>
  </si>
  <si>
    <t>O1009</t>
  </si>
  <si>
    <t>O1008</t>
  </si>
  <si>
    <t>O1006</t>
  </si>
  <si>
    <t>O1012</t>
  </si>
  <si>
    <t>O1007</t>
  </si>
  <si>
    <t>O1015</t>
  </si>
  <si>
    <t>O1010</t>
  </si>
  <si>
    <t>O1011</t>
  </si>
  <si>
    <t>O1014</t>
  </si>
  <si>
    <t>Total Sales=</t>
  </si>
  <si>
    <t>Average Sales=</t>
  </si>
  <si>
    <t>Highest Sales=</t>
  </si>
  <si>
    <t>Lowest Sales=</t>
  </si>
  <si>
    <t>Total Orders</t>
  </si>
  <si>
    <t>Average Profit=</t>
  </si>
  <si>
    <t>Total Profit=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</si>
</sst>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[$₹-4009]\ #,##0"/>
    <numFmt numFmtId="171" formatCode="[$₹-4009]\ #,##0.00"/>
    <numFmt numFmtId="178" formatCode="[$-409]d\-mmm\-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70" fontId="0" fillId="0" borderId="0" xfId="0" applyNumberFormat="1"/>
    <xf numFmtId="171" fontId="0" fillId="0" borderId="0" xfId="0" applyNumberFormat="1"/>
    <xf numFmtId="178" fontId="0" fillId="0" borderId="0" xfId="0" applyNumberFormat="1"/>
    <xf numFmtId="0" fontId="0" fillId="0" borderId="0" xfId="0" applyBorder="1"/>
    <xf numFmtId="170" fontId="0" fillId="0" borderId="0" xfId="0" applyNumberFormat="1" applyBorder="1"/>
    <xf numFmtId="0" fontId="1" fillId="0" borderId="0" xfId="0" applyFont="1" applyBorder="1"/>
    <xf numFmtId="170" fontId="1" fillId="0" borderId="0" xfId="0" applyNumberFormat="1" applyFont="1" applyBorder="1"/>
    <xf numFmtId="178" fontId="1" fillId="0" borderId="0" xfId="0" applyNumberFormat="1" applyFont="1" applyBorder="1"/>
    <xf numFmtId="178" fontId="0" fillId="0" borderId="0" xfId="0" applyNumberFormat="1" applyBorder="1"/>
    <xf numFmtId="1" fontId="0" fillId="0" borderId="0" xfId="0" applyNumberFormat="1"/>
    <xf numFmtId="0" fontId="0" fillId="3" borderId="1" xfId="0" applyFont="1" applyFill="1" applyBorder="1"/>
    <xf numFmtId="170" fontId="0" fillId="3" borderId="1" xfId="0" applyNumberFormat="1" applyFont="1" applyFill="1" applyBorder="1"/>
    <xf numFmtId="0" fontId="0" fillId="0" borderId="1" xfId="0" applyFont="1" applyBorder="1"/>
    <xf numFmtId="170" fontId="0" fillId="0" borderId="1" xfId="0" applyNumberFormat="1" applyFont="1" applyBorder="1"/>
    <xf numFmtId="178" fontId="0" fillId="3" borderId="1" xfId="0" applyNumberFormat="1" applyFont="1" applyFill="1" applyBorder="1"/>
    <xf numFmtId="0" fontId="2" fillId="2" borderId="2" xfId="0" applyFont="1" applyFill="1" applyBorder="1"/>
    <xf numFmtId="170" fontId="2" fillId="2" borderId="2" xfId="0" applyNumberFormat="1" applyFont="1" applyFill="1" applyBorder="1"/>
    <xf numFmtId="178" fontId="2" fillId="2" borderId="2" xfId="0" applyNumberFormat="1" applyFont="1" applyFill="1" applyBorder="1"/>
    <xf numFmtId="0" fontId="0" fillId="0" borderId="3" xfId="0" applyFont="1" applyBorder="1"/>
    <xf numFmtId="170" fontId="0" fillId="0" borderId="3" xfId="0" applyNumberFormat="1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[$-409]d\-mmm\-yyyy;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[$₹-4009]\ 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[$₹-4009]\ 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178" formatCode="[$-409]d\-mmm\-yyyy;@"/>
    </dxf>
    <dxf>
      <numFmt numFmtId="170" formatCode="[$₹-4009]\ #,##0"/>
    </dxf>
    <dxf>
      <numFmt numFmtId="170" formatCode="[$₹-4009]\ #,##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1"/>
      </font>
      <fill>
        <patternFill patternType="solid"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F70FB-56E5-4A61-9833-B49DD3CE350D}" name="Table2" displayName="Table2" ref="A1:F23" totalsRowShown="0" headerRowDxfId="15" tableBorderDxfId="14">
  <autoFilter ref="A1:F23" xr:uid="{2D4F70FB-56E5-4A61-9833-B49DD3CE350D}"/>
  <tableColumns count="6">
    <tableColumn id="1" xr3:uid="{A71F2BF5-8767-45F3-B95E-9F6CDDAFCFAF}" name="Order_ID"/>
    <tableColumn id="2" xr3:uid="{307CB4E4-9E26-4E15-B4F0-4D0DCA0FBF1F}" name="Product"/>
    <tableColumn id="3" xr3:uid="{A599E268-CE23-41C8-9D2B-E6DF640077D1}" name="Region"/>
    <tableColumn id="4" xr3:uid="{64E5CD66-3D13-4E87-A3E8-8C505DF649BB}" name="Sales" dataDxfId="13"/>
    <tableColumn id="5" xr3:uid="{F94C125E-ACB6-43B7-A07A-52ECBCE6D09E}" name="Profit" dataDxfId="12"/>
    <tableColumn id="6" xr3:uid="{5981A302-92A5-4169-B130-F3B2B968ACDB}" name="Order_Date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FA754E-2229-40C3-AD09-9BA9E86786C2}" name="Table4" displayName="Table4" ref="H1:M16" totalsRowShown="0" headerRowDxfId="10" dataDxfId="9" headerRowBorderDxfId="7" tableBorderDxfId="8" totalsRowBorderDxfId="6">
  <autoFilter ref="H1:M16" xr:uid="{6BFA754E-2229-40C3-AD09-9BA9E86786C2}"/>
  <sortState xmlns:xlrd2="http://schemas.microsoft.com/office/spreadsheetml/2017/richdata2" ref="H2:M16">
    <sortCondition descending="1" ref="K1:K16"/>
  </sortState>
  <tableColumns count="6">
    <tableColumn id="1" xr3:uid="{F9165B95-EFBE-42A5-8C7E-603F12319EE2}" name="Order_ID" dataDxfId="5"/>
    <tableColumn id="2" xr3:uid="{54E73968-963B-435A-8758-9E4083468431}" name="Product" dataDxfId="4"/>
    <tableColumn id="3" xr3:uid="{5E775A10-37D5-494E-AF67-1A4E7F88D570}" name="Region" dataDxfId="3"/>
    <tableColumn id="4" xr3:uid="{E30C435B-7166-48F1-9584-3F0208A63FDF}" name="Sales" dataDxfId="2"/>
    <tableColumn id="5" xr3:uid="{55E05872-9CEF-4549-B4CF-9321BFD2078A}" name="Profit" dataDxfId="1"/>
    <tableColumn id="6" xr3:uid="{E8E17697-CC15-47E8-B87F-C064D0F1EF16}" name="Order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J24" sqref="J24"/>
    </sheetView>
  </sheetViews>
  <sheetFormatPr defaultRowHeight="15"/>
  <cols>
    <col min="1" max="1" width="11.5703125" bestFit="1" customWidth="1"/>
    <col min="2" max="2" width="10.42578125" bestFit="1" customWidth="1"/>
    <col min="3" max="3" width="13.85546875" bestFit="1" customWidth="1"/>
    <col min="4" max="4" width="11.42578125" bestFit="1" customWidth="1"/>
    <col min="5" max="5" width="8.42578125" bestFit="1" customWidth="1"/>
    <col min="6" max="6" width="13.85546875" bestFit="1" customWidth="1"/>
    <col min="8" max="8" width="11.5703125" bestFit="1" customWidth="1"/>
    <col min="9" max="9" width="10.42578125" bestFit="1" customWidth="1"/>
    <col min="10" max="10" width="10.7109375" bestFit="1" customWidth="1"/>
    <col min="11" max="11" width="8.7109375" bestFit="1" customWidth="1"/>
    <col min="12" max="12" width="8.42578125" bestFit="1" customWidth="1"/>
    <col min="13" max="13" width="13.85546875" bestFit="1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H1" s="16" t="s">
        <v>0</v>
      </c>
      <c r="I1" s="16" t="s">
        <v>1</v>
      </c>
      <c r="J1" s="16" t="s">
        <v>2</v>
      </c>
      <c r="K1" s="16" t="s">
        <v>3</v>
      </c>
      <c r="L1" s="17" t="s">
        <v>4</v>
      </c>
      <c r="M1" s="18" t="s">
        <v>5</v>
      </c>
    </row>
    <row r="2" spans="1:13">
      <c r="A2" s="4" t="s">
        <v>6</v>
      </c>
      <c r="B2" s="4" t="s">
        <v>7</v>
      </c>
      <c r="C2" s="4" t="s">
        <v>8</v>
      </c>
      <c r="D2" s="5">
        <v>55000</v>
      </c>
      <c r="E2" s="5">
        <v>8000</v>
      </c>
      <c r="F2" s="9">
        <v>46235</v>
      </c>
      <c r="H2" s="11" t="s">
        <v>9</v>
      </c>
      <c r="I2" s="11" t="s">
        <v>7</v>
      </c>
      <c r="J2" s="11" t="s">
        <v>10</v>
      </c>
      <c r="K2" s="12">
        <v>60000</v>
      </c>
      <c r="L2" s="12">
        <v>9000</v>
      </c>
      <c r="M2" s="15">
        <v>46235</v>
      </c>
    </row>
    <row r="3" spans="1:13">
      <c r="A3" s="4" t="s">
        <v>11</v>
      </c>
      <c r="B3" s="4" t="s">
        <v>12</v>
      </c>
      <c r="C3" s="4" t="s">
        <v>10</v>
      </c>
      <c r="D3" s="5">
        <v>2500</v>
      </c>
      <c r="E3" s="5">
        <v>500</v>
      </c>
      <c r="F3" s="9">
        <v>46236</v>
      </c>
      <c r="H3" s="11" t="s">
        <v>13</v>
      </c>
      <c r="I3" s="11" t="s">
        <v>7</v>
      </c>
      <c r="J3" s="11" t="s">
        <v>14</v>
      </c>
      <c r="K3" s="12">
        <v>58000</v>
      </c>
      <c r="L3" s="12">
        <v>8500</v>
      </c>
      <c r="M3" s="15">
        <v>46236</v>
      </c>
    </row>
    <row r="4" spans="1:13">
      <c r="A4" s="4" t="s">
        <v>15</v>
      </c>
      <c r="B4" s="4" t="s">
        <v>16</v>
      </c>
      <c r="C4" s="4" t="s">
        <v>14</v>
      </c>
      <c r="D4" s="5">
        <v>3500</v>
      </c>
      <c r="E4" s="5">
        <v>700</v>
      </c>
      <c r="F4" s="9">
        <v>46237</v>
      </c>
      <c r="H4" s="11" t="s">
        <v>6</v>
      </c>
      <c r="I4" s="11" t="s">
        <v>7</v>
      </c>
      <c r="J4" s="11" t="s">
        <v>8</v>
      </c>
      <c r="K4" s="12">
        <v>55000</v>
      </c>
      <c r="L4" s="12">
        <v>8000</v>
      </c>
      <c r="M4" s="15">
        <v>46237</v>
      </c>
    </row>
    <row r="5" spans="1:13">
      <c r="A5" s="4" t="s">
        <v>17</v>
      </c>
      <c r="B5" s="4" t="s">
        <v>18</v>
      </c>
      <c r="C5" s="4" t="s">
        <v>8</v>
      </c>
      <c r="D5" s="5">
        <v>18000</v>
      </c>
      <c r="E5" s="5">
        <v>3000</v>
      </c>
      <c r="F5" s="9">
        <v>46238</v>
      </c>
      <c r="H5" s="11" t="s">
        <v>19</v>
      </c>
      <c r="I5" s="11" t="s">
        <v>7</v>
      </c>
      <c r="J5" s="11" t="s">
        <v>8</v>
      </c>
      <c r="K5" s="12">
        <v>52000</v>
      </c>
      <c r="L5" s="12">
        <v>7500</v>
      </c>
      <c r="M5" s="15">
        <v>46238</v>
      </c>
    </row>
    <row r="6" spans="1:13">
      <c r="A6" s="4" t="s">
        <v>9</v>
      </c>
      <c r="B6" s="4" t="s">
        <v>7</v>
      </c>
      <c r="C6" s="4" t="s">
        <v>10</v>
      </c>
      <c r="D6" s="5">
        <v>60000</v>
      </c>
      <c r="E6" s="5">
        <v>9000</v>
      </c>
      <c r="F6" s="9">
        <v>46239</v>
      </c>
      <c r="H6" s="13" t="s">
        <v>20</v>
      </c>
      <c r="I6" s="13" t="s">
        <v>18</v>
      </c>
      <c r="J6" s="13" t="s">
        <v>14</v>
      </c>
      <c r="K6" s="14">
        <v>22000</v>
      </c>
      <c r="L6" s="14">
        <v>4000</v>
      </c>
      <c r="M6" s="15">
        <v>46239</v>
      </c>
    </row>
    <row r="7" spans="1:13">
      <c r="A7" s="4" t="s">
        <v>21</v>
      </c>
      <c r="B7" s="4" t="s">
        <v>12</v>
      </c>
      <c r="C7" s="4" t="s">
        <v>8</v>
      </c>
      <c r="D7" s="5">
        <v>3000</v>
      </c>
      <c r="E7" s="5">
        <v>600</v>
      </c>
      <c r="F7" s="9">
        <v>46240</v>
      </c>
      <c r="H7" s="13" t="s">
        <v>22</v>
      </c>
      <c r="I7" s="13" t="s">
        <v>18</v>
      </c>
      <c r="J7" s="13" t="s">
        <v>10</v>
      </c>
      <c r="K7" s="14">
        <v>19500</v>
      </c>
      <c r="L7" s="14">
        <v>3200</v>
      </c>
      <c r="M7" s="15">
        <v>46240</v>
      </c>
    </row>
    <row r="8" spans="1:13">
      <c r="A8" s="4" t="s">
        <v>23</v>
      </c>
      <c r="B8" s="4" t="s">
        <v>16</v>
      </c>
      <c r="C8" s="4" t="s">
        <v>10</v>
      </c>
      <c r="D8" s="5">
        <v>4200</v>
      </c>
      <c r="E8" s="5">
        <v>800</v>
      </c>
      <c r="F8" s="9">
        <v>46241</v>
      </c>
      <c r="H8" s="13" t="s">
        <v>17</v>
      </c>
      <c r="I8" s="13" t="s">
        <v>18</v>
      </c>
      <c r="J8" s="13" t="s">
        <v>8</v>
      </c>
      <c r="K8" s="14">
        <v>18000</v>
      </c>
      <c r="L8" s="14">
        <v>3000</v>
      </c>
      <c r="M8" s="15">
        <v>46241</v>
      </c>
    </row>
    <row r="9" spans="1:13">
      <c r="A9" s="4" t="s">
        <v>20</v>
      </c>
      <c r="B9" s="4" t="s">
        <v>18</v>
      </c>
      <c r="C9" s="4" t="s">
        <v>14</v>
      </c>
      <c r="D9" s="5">
        <v>22000</v>
      </c>
      <c r="E9" s="5">
        <v>4000</v>
      </c>
      <c r="F9" s="9">
        <v>46242</v>
      </c>
      <c r="H9" s="11" t="s">
        <v>23</v>
      </c>
      <c r="I9" s="11" t="s">
        <v>16</v>
      </c>
      <c r="J9" s="11" t="s">
        <v>10</v>
      </c>
      <c r="K9" s="12">
        <v>4200</v>
      </c>
      <c r="L9" s="12">
        <v>800</v>
      </c>
      <c r="M9" s="15">
        <v>46242</v>
      </c>
    </row>
    <row r="10" spans="1:13">
      <c r="A10" s="4" t="s">
        <v>19</v>
      </c>
      <c r="B10" s="4" t="s">
        <v>7</v>
      </c>
      <c r="C10" s="4" t="s">
        <v>8</v>
      </c>
      <c r="D10" s="5">
        <v>52000</v>
      </c>
      <c r="E10" s="5">
        <v>7500</v>
      </c>
      <c r="F10" s="9">
        <v>46243</v>
      </c>
      <c r="H10" s="11" t="s">
        <v>24</v>
      </c>
      <c r="I10" s="11" t="s">
        <v>16</v>
      </c>
      <c r="J10" s="11" t="s">
        <v>8</v>
      </c>
      <c r="K10" s="12">
        <v>4000</v>
      </c>
      <c r="L10" s="12">
        <v>780</v>
      </c>
      <c r="M10" s="15">
        <v>46243</v>
      </c>
    </row>
    <row r="11" spans="1:13">
      <c r="A11" s="4" t="s">
        <v>25</v>
      </c>
      <c r="B11" s="4" t="s">
        <v>12</v>
      </c>
      <c r="C11" s="4" t="s">
        <v>14</v>
      </c>
      <c r="D11" s="5">
        <v>2800</v>
      </c>
      <c r="E11" s="5">
        <v>550</v>
      </c>
      <c r="F11" s="9">
        <v>46244</v>
      </c>
      <c r="H11" s="11" t="s">
        <v>26</v>
      </c>
      <c r="I11" s="11" t="s">
        <v>16</v>
      </c>
      <c r="J11" s="11" t="s">
        <v>8</v>
      </c>
      <c r="K11" s="12">
        <v>3800</v>
      </c>
      <c r="L11" s="12">
        <v>750</v>
      </c>
      <c r="M11" s="15">
        <v>46244</v>
      </c>
    </row>
    <row r="12" spans="1:13">
      <c r="A12" s="4" t="s">
        <v>26</v>
      </c>
      <c r="B12" s="4" t="s">
        <v>16</v>
      </c>
      <c r="C12" s="4" t="s">
        <v>8</v>
      </c>
      <c r="D12" s="5">
        <v>3800</v>
      </c>
      <c r="E12" s="5">
        <v>750</v>
      </c>
      <c r="F12" s="9">
        <v>46245</v>
      </c>
      <c r="H12" s="11" t="s">
        <v>15</v>
      </c>
      <c r="I12" s="11" t="s">
        <v>16</v>
      </c>
      <c r="J12" s="11" t="s">
        <v>14</v>
      </c>
      <c r="K12" s="12">
        <v>3500</v>
      </c>
      <c r="L12" s="12">
        <v>700</v>
      </c>
      <c r="M12" s="15">
        <v>46245</v>
      </c>
    </row>
    <row r="13" spans="1:13">
      <c r="A13" s="4" t="s">
        <v>22</v>
      </c>
      <c r="B13" s="4" t="s">
        <v>18</v>
      </c>
      <c r="C13" s="4" t="s">
        <v>10</v>
      </c>
      <c r="D13" s="5">
        <v>19500</v>
      </c>
      <c r="E13" s="5">
        <v>3200</v>
      </c>
      <c r="F13" s="9">
        <v>46246</v>
      </c>
      <c r="H13" s="13" t="s">
        <v>21</v>
      </c>
      <c r="I13" s="13" t="s">
        <v>12</v>
      </c>
      <c r="J13" s="13" t="s">
        <v>8</v>
      </c>
      <c r="K13" s="14">
        <v>3000</v>
      </c>
      <c r="L13" s="14">
        <v>600</v>
      </c>
      <c r="M13" s="15">
        <v>46246</v>
      </c>
    </row>
    <row r="14" spans="1:13">
      <c r="A14" s="4" t="s">
        <v>13</v>
      </c>
      <c r="B14" s="4" t="s">
        <v>7</v>
      </c>
      <c r="C14" s="4" t="s">
        <v>14</v>
      </c>
      <c r="D14" s="5">
        <v>58000</v>
      </c>
      <c r="E14" s="5">
        <v>8500</v>
      </c>
      <c r="F14" s="9">
        <v>46247</v>
      </c>
      <c r="H14" s="13" t="s">
        <v>25</v>
      </c>
      <c r="I14" s="13" t="s">
        <v>12</v>
      </c>
      <c r="J14" s="13" t="s">
        <v>14</v>
      </c>
      <c r="K14" s="14">
        <v>2800</v>
      </c>
      <c r="L14" s="14">
        <v>550</v>
      </c>
      <c r="M14" s="15">
        <v>46247</v>
      </c>
    </row>
    <row r="15" spans="1:13">
      <c r="A15" s="4" t="s">
        <v>27</v>
      </c>
      <c r="B15" s="4" t="s">
        <v>12</v>
      </c>
      <c r="C15" s="4" t="s">
        <v>10</v>
      </c>
      <c r="D15" s="5">
        <v>2700</v>
      </c>
      <c r="E15" s="5">
        <v>520</v>
      </c>
      <c r="F15" s="9">
        <v>46248</v>
      </c>
      <c r="H15" s="13" t="s">
        <v>27</v>
      </c>
      <c r="I15" s="13" t="s">
        <v>12</v>
      </c>
      <c r="J15" s="13" t="s">
        <v>10</v>
      </c>
      <c r="K15" s="14">
        <v>2700</v>
      </c>
      <c r="L15" s="14">
        <v>520</v>
      </c>
      <c r="M15" s="15">
        <v>46248</v>
      </c>
    </row>
    <row r="16" spans="1:13">
      <c r="A16" s="4" t="s">
        <v>24</v>
      </c>
      <c r="B16" s="4" t="s">
        <v>16</v>
      </c>
      <c r="C16" s="4" t="s">
        <v>8</v>
      </c>
      <c r="D16" s="5">
        <v>4000</v>
      </c>
      <c r="E16" s="5">
        <v>780</v>
      </c>
      <c r="F16" s="9">
        <v>46249</v>
      </c>
      <c r="H16" s="19" t="s">
        <v>11</v>
      </c>
      <c r="I16" s="19" t="s">
        <v>12</v>
      </c>
      <c r="J16" s="19" t="s">
        <v>10</v>
      </c>
      <c r="K16" s="20">
        <v>2500</v>
      </c>
      <c r="L16" s="20">
        <v>500</v>
      </c>
      <c r="M16" s="15">
        <v>46249</v>
      </c>
    </row>
    <row r="17" spans="3:6">
      <c r="C17" t="s">
        <v>28</v>
      </c>
      <c r="D17" s="10">
        <f>SUM(D2:D16)</f>
        <v>311000</v>
      </c>
      <c r="E17" s="1"/>
      <c r="F17" s="3"/>
    </row>
    <row r="18" spans="3:6">
      <c r="C18" t="s">
        <v>29</v>
      </c>
      <c r="D18" s="2">
        <f>AVERAGE(D2:D16)</f>
        <v>20733.333333333332</v>
      </c>
      <c r="E18" s="1"/>
      <c r="F18" s="3"/>
    </row>
    <row r="19" spans="3:6">
      <c r="C19" t="s">
        <v>30</v>
      </c>
      <c r="D19" s="1">
        <f>MAX(D2:D16)</f>
        <v>60000</v>
      </c>
      <c r="E19" s="1"/>
      <c r="F19" s="3"/>
    </row>
    <row r="20" spans="3:6">
      <c r="C20" t="s">
        <v>31</v>
      </c>
      <c r="D20" s="1">
        <f>MIN(D2:D16)</f>
        <v>2500</v>
      </c>
      <c r="E20" s="1"/>
      <c r="F20" s="3"/>
    </row>
    <row r="21" spans="3:6">
      <c r="C21" t="s">
        <v>32</v>
      </c>
      <c r="D21" s="10">
        <f>COUNT(D2:D16)</f>
        <v>15</v>
      </c>
      <c r="E21" s="1"/>
      <c r="F21" s="3"/>
    </row>
    <row r="22" spans="3:6">
      <c r="C22" t="s">
        <v>33</v>
      </c>
      <c r="D22" s="2">
        <f>AVERAGE(E2:E16)</f>
        <v>3226.6666666666665</v>
      </c>
      <c r="E22" s="1"/>
      <c r="F22" s="3"/>
    </row>
    <row r="23" spans="3:6">
      <c r="C23" t="s">
        <v>34</v>
      </c>
      <c r="D23" s="1">
        <f>SUM(E2:E16)</f>
        <v>48400</v>
      </c>
      <c r="E23" s="1"/>
      <c r="F23" s="3"/>
    </row>
  </sheetData>
  <conditionalFormatting sqref="D2:D16">
    <cfRule type="cellIs" dxfId="16" priority="2" operator="greaterThan">
      <formula>50000</formula>
    </cfRule>
  </conditionalFormatting>
  <conditionalFormatting sqref="E2:E1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{23A98276-0DB7-406B-BF0B-9132B629AF49}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A98276-0DB7-406B-BF0B-9132B629AF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2026-08-11T15:57:17Z</dcterms:created>
  <dcterms:modified xsi:type="dcterms:W3CDTF">2026-08-11T17:09:12Z</dcterms:modified>
  <cp:category/>
  <cp:contentStatus/>
</cp:coreProperties>
</file>